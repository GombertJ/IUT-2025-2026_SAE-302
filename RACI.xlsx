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Julien\Desktop\Projets\IUT-2025-2026_SAE-302\"/>
    </mc:Choice>
  </mc:AlternateContent>
  <xr:revisionPtr revIDLastSave="0" documentId="13_ncr:1_{65C2D580-8486-4C19-AF3A-D3FBE428C45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Avancement Projet" sheetId="3" r:id="rId1"/>
  </sheets>
  <definedNames>
    <definedName name="_xlnm._FilterDatabase" localSheetId="0" hidden="1">'Avancement Projet'!$B$8:$P$29</definedName>
    <definedName name="_Toc181209280" localSheetId="0">'Avancement Projet'!$D$23</definedName>
    <definedName name="_Toc181209281" localSheetId="0">'Avancement Projet'!#REF!</definedName>
    <definedName name="_Toc181209282" localSheetId="0">'Avancement Projet'!#REF!</definedName>
    <definedName name="_Toc181209283" localSheetId="0">'Avancement Projet'!$D$24</definedName>
    <definedName name="_Toc181209284" localSheetId="0">'Avancement Projet'!#REF!</definedName>
    <definedName name="DateDebutProjet">#REF!</definedName>
    <definedName name="wee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3" l="1"/>
  <c r="O12" i="3"/>
  <c r="N29" i="3" l="1"/>
  <c r="N28" i="3"/>
  <c r="N27" i="3"/>
  <c r="N25" i="3"/>
  <c r="N24" i="3"/>
  <c r="N23" i="3"/>
  <c r="N21" i="3"/>
  <c r="N20" i="3"/>
  <c r="N19" i="3"/>
  <c r="N18" i="3"/>
  <c r="N17" i="3"/>
  <c r="L22" i="3"/>
  <c r="M22" i="3"/>
  <c r="M16" i="3"/>
  <c r="L12" i="3"/>
  <c r="M12" i="3"/>
  <c r="L16" i="3"/>
  <c r="Q10" i="3"/>
  <c r="Q8" i="3" s="1"/>
  <c r="O26" i="3" l="1"/>
  <c r="O11" i="3" s="1"/>
  <c r="O22" i="3"/>
  <c r="N12" i="3"/>
  <c r="N16" i="3"/>
  <c r="N22" i="3"/>
  <c r="M11" i="3"/>
  <c r="L11" i="3"/>
  <c r="Q9" i="3"/>
  <c r="R10" i="3"/>
  <c r="N11" i="3" l="1"/>
  <c r="S10" i="3"/>
  <c r="R9" i="3"/>
  <c r="R8" i="3"/>
  <c r="T10" i="3" l="1"/>
  <c r="S9" i="3"/>
  <c r="S8" i="3"/>
  <c r="T8" i="3" l="1"/>
  <c r="U10" i="3"/>
  <c r="T9" i="3"/>
  <c r="U8" i="3" l="1"/>
  <c r="V10" i="3"/>
  <c r="U9" i="3"/>
  <c r="V8" i="3" l="1"/>
  <c r="W10" i="3"/>
  <c r="X10" i="3" s="1"/>
  <c r="V9" i="3"/>
  <c r="W9" i="3" l="1"/>
  <c r="W8" i="3"/>
  <c r="X8" i="3" l="1"/>
  <c r="Y10" i="3"/>
  <c r="X9" i="3"/>
  <c r="Y8" i="3" l="1"/>
  <c r="Z10" i="3"/>
  <c r="Y9" i="3"/>
  <c r="AA10" i="3" l="1"/>
  <c r="Z9" i="3"/>
  <c r="Z8" i="3"/>
  <c r="AA9" i="3" l="1"/>
  <c r="AA8" i="3"/>
  <c r="AB10" i="3"/>
  <c r="AB8" i="3" l="1"/>
  <c r="AC10" i="3"/>
  <c r="AB9" i="3"/>
  <c r="AD10" i="3" l="1"/>
  <c r="AC9" i="3"/>
  <c r="AC8" i="3"/>
  <c r="AD8" i="3" l="1"/>
  <c r="AE10" i="3"/>
  <c r="AD9" i="3"/>
  <c r="AE8" i="3" l="1"/>
  <c r="AF10" i="3"/>
  <c r="AE9" i="3"/>
  <c r="AF8" i="3" l="1"/>
  <c r="AG10" i="3"/>
  <c r="AF9" i="3"/>
  <c r="AG8" i="3" l="1"/>
  <c r="AH10" i="3"/>
  <c r="AG9" i="3"/>
  <c r="AI10" i="3" l="1"/>
  <c r="AH9" i="3"/>
  <c r="AH8" i="3"/>
  <c r="AJ10" i="3" l="1"/>
  <c r="AI8" i="3"/>
  <c r="AI9" i="3"/>
  <c r="AJ8" i="3" l="1"/>
  <c r="AK10" i="3"/>
  <c r="AJ9" i="3"/>
  <c r="AK8" i="3" l="1"/>
  <c r="AK9" i="3"/>
  <c r="AL10" i="3"/>
  <c r="AL8" i="3" l="1"/>
  <c r="AM10" i="3"/>
  <c r="AL9" i="3"/>
  <c r="AN10" i="3" l="1"/>
  <c r="AM9" i="3"/>
  <c r="AM8" i="3"/>
  <c r="AN8" i="3" l="1"/>
  <c r="AO10" i="3"/>
  <c r="AN9" i="3"/>
  <c r="AO8" i="3" l="1"/>
  <c r="AP10" i="3"/>
  <c r="AO9" i="3"/>
  <c r="AQ10" i="3" l="1"/>
  <c r="AP9" i="3"/>
  <c r="AP8" i="3"/>
  <c r="AQ9" i="3" l="1"/>
  <c r="AQ8" i="3"/>
  <c r="AR10" i="3"/>
  <c r="AR8" i="3" l="1"/>
  <c r="AS10" i="3"/>
  <c r="AR9" i="3"/>
  <c r="AS8" i="3" l="1"/>
  <c r="AT10" i="3"/>
  <c r="AS9" i="3"/>
  <c r="AT8" i="3" l="1"/>
  <c r="AU10" i="3"/>
  <c r="AT9" i="3"/>
  <c r="AV10" i="3" l="1"/>
  <c r="AU9" i="3"/>
  <c r="AU8" i="3"/>
  <c r="AV8" i="3" l="1"/>
  <c r="AW10" i="3"/>
  <c r="AV9" i="3"/>
  <c r="AW8" i="3" l="1"/>
  <c r="AW9" i="3"/>
  <c r="AX10" i="3"/>
  <c r="AY10" i="3" l="1"/>
  <c r="AX9" i="3"/>
  <c r="AX8" i="3"/>
  <c r="AY8" i="3" l="1"/>
  <c r="AZ10" i="3"/>
  <c r="AY9" i="3"/>
  <c r="AZ8" i="3" l="1"/>
  <c r="BA10" i="3"/>
  <c r="AZ9" i="3"/>
  <c r="BA9" i="3" l="1"/>
  <c r="BA8" i="3"/>
  <c r="BB10" i="3"/>
  <c r="BB8" i="3" l="1"/>
  <c r="BC10" i="3"/>
  <c r="BB9" i="3"/>
  <c r="BC8" i="3" l="1"/>
  <c r="BD10" i="3"/>
  <c r="BC9" i="3"/>
  <c r="BD8" i="3" l="1"/>
  <c r="BD9" i="3"/>
  <c r="BE10" i="3"/>
  <c r="BE8" i="3" l="1"/>
  <c r="BF10" i="3"/>
  <c r="BE9" i="3"/>
  <c r="BG10" i="3" l="1"/>
  <c r="BF9" i="3"/>
  <c r="BF8" i="3"/>
  <c r="BG9" i="3" l="1"/>
  <c r="BG8" i="3"/>
  <c r="BH10" i="3"/>
  <c r="BH8" i="3" l="1"/>
  <c r="BI10" i="3"/>
  <c r="BH9" i="3"/>
  <c r="BI8" i="3" l="1"/>
  <c r="BJ10" i="3"/>
  <c r="BI9" i="3"/>
  <c r="BJ8" i="3" l="1"/>
  <c r="BK10" i="3"/>
  <c r="BJ9" i="3"/>
  <c r="BL10" i="3" l="1"/>
  <c r="BK9" i="3"/>
  <c r="BK8" i="3"/>
  <c r="BL8" i="3" l="1"/>
  <c r="BM10" i="3"/>
  <c r="BL9" i="3"/>
  <c r="BM8" i="3" l="1"/>
  <c r="BM9" i="3"/>
  <c r="BN10" i="3"/>
  <c r="BO10" i="3" l="1"/>
  <c r="BN9" i="3"/>
  <c r="BN8" i="3"/>
  <c r="BP10" i="3" l="1"/>
  <c r="BO9" i="3"/>
  <c r="BO8" i="3"/>
  <c r="BP8" i="3" l="1"/>
  <c r="BQ10" i="3"/>
  <c r="BP9" i="3"/>
  <c r="BQ8" i="3" l="1"/>
  <c r="BQ9" i="3"/>
  <c r="BR10" i="3"/>
  <c r="BR8" i="3" l="1"/>
  <c r="BS10" i="3"/>
  <c r="BR9" i="3"/>
  <c r="BS8" i="3" l="1"/>
  <c r="BT10" i="3"/>
  <c r="BS9" i="3"/>
  <c r="BT8" i="3" l="1"/>
  <c r="BU10" i="3"/>
  <c r="BT9" i="3"/>
  <c r="BU8" i="3" l="1"/>
  <c r="BV10" i="3"/>
  <c r="BU9" i="3"/>
  <c r="BW10" i="3" l="1"/>
  <c r="BV9" i="3"/>
  <c r="BV8" i="3"/>
  <c r="BX10" i="3" l="1"/>
  <c r="BW9" i="3"/>
  <c r="BW8" i="3"/>
  <c r="BX8" i="3" l="1"/>
  <c r="BY10" i="3"/>
  <c r="BX9" i="3"/>
  <c r="BZ10" i="3" l="1"/>
  <c r="BY9" i="3"/>
  <c r="BY8" i="3"/>
  <c r="BZ8" i="3" l="1"/>
  <c r="CA10" i="3"/>
  <c r="BZ9" i="3"/>
  <c r="CB10" i="3" l="1"/>
  <c r="CA9" i="3"/>
  <c r="CA8" i="3"/>
  <c r="CB8" i="3" l="1"/>
  <c r="CC10" i="3"/>
  <c r="CB9" i="3"/>
  <c r="CC8" i="3" l="1"/>
  <c r="CC9" i="3"/>
  <c r="CD10" i="3"/>
  <c r="CE10" i="3" l="1"/>
  <c r="CD9" i="3"/>
  <c r="CD8" i="3"/>
  <c r="CE9" i="3" l="1"/>
  <c r="CF10" i="3"/>
  <c r="CE8" i="3"/>
  <c r="CF8" i="3" l="1"/>
  <c r="CG10" i="3"/>
  <c r="CF9" i="3"/>
  <c r="CG9" i="3" l="1"/>
  <c r="CG8" i="3"/>
  <c r="CH10" i="3"/>
  <c r="CH8" i="3" l="1"/>
  <c r="CI10" i="3"/>
  <c r="CH9" i="3"/>
  <c r="CI8" i="3" l="1"/>
  <c r="CJ10" i="3"/>
  <c r="CI9" i="3"/>
  <c r="CJ8" i="3" l="1"/>
  <c r="CK10" i="3"/>
  <c r="CJ9" i="3"/>
  <c r="CK8" i="3" l="1"/>
  <c r="CL10" i="3"/>
  <c r="CK9" i="3"/>
  <c r="CM10" i="3" l="1"/>
  <c r="CL9" i="3"/>
  <c r="CL8" i="3"/>
  <c r="CM8" i="3" l="1"/>
  <c r="CN10" i="3"/>
  <c r="CM9" i="3"/>
  <c r="CN8" i="3" l="1"/>
  <c r="CO10" i="3"/>
  <c r="CN9" i="3"/>
  <c r="CO8" i="3" l="1"/>
  <c r="CP10" i="3"/>
  <c r="CO9" i="3"/>
  <c r="CP8" i="3" l="1"/>
  <c r="CQ10" i="3"/>
  <c r="CP9" i="3"/>
  <c r="CQ8" i="3" l="1"/>
  <c r="CR10" i="3"/>
  <c r="CQ9" i="3"/>
  <c r="CR8" i="3" l="1"/>
  <c r="CS10" i="3"/>
  <c r="CR9" i="3"/>
  <c r="CS8" i="3" l="1"/>
  <c r="CS9" i="3"/>
  <c r="CT10" i="3"/>
  <c r="CU10" i="3" l="1"/>
  <c r="CT9" i="3"/>
  <c r="CT8" i="3"/>
  <c r="CU9" i="3" l="1"/>
  <c r="CU8" i="3"/>
  <c r="CV10" i="3"/>
  <c r="CV8" i="3" l="1"/>
  <c r="CW10" i="3"/>
  <c r="CV9" i="3"/>
  <c r="CW8" i="3" l="1"/>
  <c r="CX10" i="3"/>
  <c r="CW9" i="3"/>
  <c r="CX8" i="3" l="1"/>
  <c r="CY10" i="3"/>
  <c r="CX9" i="3"/>
  <c r="CY9" i="3" l="1"/>
  <c r="CY8" i="3"/>
</calcChain>
</file>

<file path=xl/sharedStrings.xml><?xml version="1.0" encoding="utf-8"?>
<sst xmlns="http://schemas.openxmlformats.org/spreadsheetml/2006/main" count="149" uniqueCount="70">
  <si>
    <t>Type</t>
  </si>
  <si>
    <t>P</t>
  </si>
  <si>
    <t>P, R</t>
  </si>
  <si>
    <t>Planification</t>
  </si>
  <si>
    <t>Projet</t>
  </si>
  <si>
    <t>Avancement
Tâche
(en %)</t>
  </si>
  <si>
    <t>Durée
(jour)</t>
  </si>
  <si>
    <t>Date
Limite</t>
  </si>
  <si>
    <t>Date
Début</t>
  </si>
  <si>
    <t>Titre de la Tâche</t>
  </si>
  <si>
    <t>Numéro</t>
  </si>
  <si>
    <t>Chef de Projet</t>
  </si>
  <si>
    <t>Titre du Projet</t>
  </si>
  <si>
    <t>Nom du Groupe</t>
  </si>
  <si>
    <t>Date Mise à Jour</t>
  </si>
  <si>
    <t>Membres du Groupe</t>
  </si>
  <si>
    <t>Statut</t>
  </si>
  <si>
    <t>T</t>
  </si>
  <si>
    <t>GOMBERT-Julien</t>
  </si>
  <si>
    <t>Responsable</t>
  </si>
  <si>
    <t>Approbateur</t>
  </si>
  <si>
    <t>Consulté</t>
  </si>
  <si>
    <t>Informé</t>
  </si>
  <si>
    <t>3.1</t>
  </si>
  <si>
    <t>1.3</t>
  </si>
  <si>
    <t>Validation</t>
  </si>
  <si>
    <t>1.1</t>
  </si>
  <si>
    <t>1.2</t>
  </si>
  <si>
    <t>2.1</t>
  </si>
  <si>
    <t>2.2</t>
  </si>
  <si>
    <t>2.3</t>
  </si>
  <si>
    <t>2.4</t>
  </si>
  <si>
    <t>2.5</t>
  </si>
  <si>
    <t>4.1</t>
  </si>
  <si>
    <t>4.2</t>
  </si>
  <si>
    <t>4.3</t>
  </si>
  <si>
    <t>Fin Retard</t>
  </si>
  <si>
    <t>Début Retard</t>
  </si>
  <si>
    <t>Date Démarrage Projet (Semestre 2)</t>
  </si>
  <si>
    <t>4.0</t>
  </si>
  <si>
    <t>Non démarrée</t>
  </si>
  <si>
    <t>3.21</t>
  </si>
  <si>
    <t>3.22</t>
  </si>
  <si>
    <t>en cours</t>
  </si>
  <si>
    <t>Groupe</t>
  </si>
  <si>
    <t>Base de donnée</t>
  </si>
  <si>
    <t>Terminée</t>
  </si>
  <si>
    <t>SAE302</t>
  </si>
  <si>
    <t>Julien, Yoann, Titouan, Adrien</t>
  </si>
  <si>
    <t>Bowser Shell Team's</t>
  </si>
  <si>
    <t>Application Java Scanner CVE</t>
  </si>
  <si>
    <t>Application Android</t>
  </si>
  <si>
    <t>Communication FastAPI</t>
  </si>
  <si>
    <t xml:space="preserve">Application CLI </t>
  </si>
  <si>
    <t>Gestion BdD</t>
  </si>
  <si>
    <t>Intégration package légion</t>
  </si>
  <si>
    <t>Julien</t>
  </si>
  <si>
    <t>Yoann</t>
  </si>
  <si>
    <t>Titouan</t>
  </si>
  <si>
    <t>Adrien</t>
  </si>
  <si>
    <t>[GUI] Activité n °1</t>
  </si>
  <si>
    <t>[JAVA] Activité n °1</t>
  </si>
  <si>
    <t>Communication API</t>
  </si>
  <si>
    <t>[GUI] Activité n °2</t>
  </si>
  <si>
    <t>[JAVA] Activité n °2</t>
  </si>
  <si>
    <t>Intégration API</t>
  </si>
  <si>
    <t>Serveur Python</t>
  </si>
  <si>
    <t>Installation / Configs SQLite</t>
  </si>
  <si>
    <t>Schéma SQL</t>
  </si>
  <si>
    <t>Intégration dans SQLite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</si>
</sst>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/&quot;mm&quot;/&quot;yy"/>
    <numFmt numFmtId="165" formatCode="&quot;$&quot;#,##0.00"/>
    <numFmt numFmtId="166" formatCode="d\.m"/>
    <numFmt numFmtId="167" formatCode="0\ %"/>
    <numFmt numFmtId="168" formatCode="0.0"/>
    <numFmt numFmtId="169" formatCode="dd/mm/yy;@"/>
    <numFmt numFmtId="170" formatCode="dd"/>
    <numFmt numFmtId="171" formatCode="mmmm"/>
  </numFmts>
  <fonts count="23" x14ac:knownFonts="1">
    <font>
      <sz val="10"/>
      <color rgb="FF000000"/>
      <name val="Arial"/>
    </font>
    <font>
      <sz val="10"/>
      <name val="Arial"/>
      <family val="2"/>
    </font>
    <font>
      <sz val="10"/>
      <color rgb="FFFF000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30"/>
      <color rgb="FF0B5394"/>
      <name val="Arial"/>
      <family val="2"/>
    </font>
    <font>
      <b/>
      <sz val="12"/>
      <color rgb="FF0B5394"/>
      <name val="Arial"/>
      <family val="2"/>
    </font>
    <font>
      <sz val="12"/>
      <color rgb="FF0B5394"/>
      <name val="Arial"/>
      <family val="2"/>
    </font>
    <font>
      <sz val="10"/>
      <color rgb="FF000000"/>
      <name val="Arial"/>
      <family val="2"/>
    </font>
    <font>
      <b/>
      <sz val="11"/>
      <color rgb="FF434343"/>
      <name val="Arial"/>
      <family val="2"/>
    </font>
    <font>
      <sz val="11"/>
      <color rgb="FF434343"/>
      <name val="Arial"/>
      <family val="2"/>
    </font>
    <font>
      <sz val="11"/>
      <color rgb="FF000000"/>
      <name val="Arial"/>
      <family val="2"/>
    </font>
    <font>
      <b/>
      <sz val="10"/>
      <color rgb="FF666666"/>
      <name val="Arial"/>
      <family val="2"/>
    </font>
    <font>
      <sz val="10"/>
      <color rgb="FF999999"/>
      <name val="Arial"/>
      <family val="2"/>
    </font>
    <font>
      <sz val="11"/>
      <color rgb="FFFF0000"/>
      <name val="Arial"/>
      <family val="2"/>
    </font>
    <font>
      <b/>
      <sz val="11"/>
      <color rgb="FFFF0000"/>
      <name val="Arial"/>
      <family val="2"/>
    </font>
    <font>
      <b/>
      <sz val="11"/>
      <color rgb="FF000000"/>
      <name val="Arial"/>
      <family val="2"/>
    </font>
    <font>
      <sz val="10"/>
      <color rgb="FF434343"/>
      <name val="Arial"/>
      <family val="2"/>
    </font>
    <font>
      <b/>
      <sz val="10"/>
      <color rgb="FF000000"/>
      <name val="Arial"/>
      <family val="2"/>
    </font>
    <font>
      <b/>
      <sz val="11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8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F75B5"/>
        <bgColor rgb="FF2F75B5"/>
      </patternFill>
    </fill>
    <fill>
      <patternFill patternType="solid">
        <fgColor rgb="FFBDD7EE"/>
        <bgColor rgb="FFBDD7E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CCCCCC"/>
      </patternFill>
    </fill>
    <fill>
      <patternFill patternType="solid">
        <fgColor rgb="FFF2EAFF"/>
        <bgColor indexed="64"/>
      </patternFill>
    </fill>
    <fill>
      <patternFill patternType="solid">
        <fgColor rgb="FFFBE8E7"/>
        <bgColor indexed="64"/>
      </patternFill>
    </fill>
    <fill>
      <patternFill patternType="solid">
        <fgColor rgb="FFD2FCF9"/>
        <bgColor indexed="64"/>
      </patternFill>
    </fill>
    <fill>
      <patternFill patternType="solid">
        <fgColor rgb="FFFFF1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000000"/>
      </patternFill>
    </fill>
    <fill>
      <patternFill patternType="solid">
        <fgColor theme="8" tint="0.39997558519241921"/>
        <bgColor rgb="FFCCCCCC"/>
      </patternFill>
    </fill>
  </fills>
  <borders count="17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D9D9D9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CCCCCC"/>
      </top>
      <bottom style="thin">
        <color rgb="FFB7B7B7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CCCCCC"/>
      </top>
      <bottom style="hair">
        <color indexed="64"/>
      </bottom>
      <diagonal/>
    </border>
    <border>
      <left/>
      <right style="hair">
        <color indexed="64"/>
      </right>
      <top style="thin">
        <color rgb="FFCCCCCC"/>
      </top>
      <bottom style="hair">
        <color indexed="64"/>
      </bottom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9" fontId="21" fillId="0" borderId="0" applyFont="0" applyFill="0" applyBorder="0" applyAlignment="0" applyProtection="0"/>
  </cellStyleXfs>
  <cellXfs count="134">
    <xf numFmtId="0" fontId="0" fillId="0" borderId="0" xfId="0"/>
    <xf numFmtId="0" fontId="4" fillId="0" borderId="0" xfId="0" applyFont="1" applyAlignment="1">
      <alignment vertical="center"/>
    </xf>
    <xf numFmtId="0" fontId="8" fillId="0" borderId="0" xfId="0" applyFont="1"/>
    <xf numFmtId="0" fontId="9" fillId="0" borderId="0" xfId="0" applyFont="1" applyAlignment="1">
      <alignment horizontal="left" vertical="center"/>
    </xf>
    <xf numFmtId="0" fontId="10" fillId="2" borderId="0" xfId="0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3" fillId="0" borderId="0" xfId="0" applyFont="1" applyAlignment="1">
      <alignment vertical="center"/>
    </xf>
    <xf numFmtId="0" fontId="11" fillId="2" borderId="0" xfId="0" applyFont="1" applyFill="1" applyAlignment="1">
      <alignment horizontal="center"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18" fillId="5" borderId="4" xfId="0" applyFont="1" applyFill="1" applyBorder="1" applyAlignment="1">
      <alignment horizontal="center" vertical="center"/>
    </xf>
    <xf numFmtId="167" fontId="17" fillId="0" borderId="0" xfId="0" applyNumberFormat="1" applyFont="1" applyAlignment="1">
      <alignment horizontal="center" vertical="center" wrapText="1"/>
    </xf>
    <xf numFmtId="0" fontId="1" fillId="0" borderId="0" xfId="0" applyFont="1"/>
    <xf numFmtId="170" fontId="18" fillId="5" borderId="0" xfId="0" applyNumberFormat="1" applyFont="1" applyFill="1" applyAlignment="1">
      <alignment horizontal="center" vertical="center"/>
    </xf>
    <xf numFmtId="0" fontId="8" fillId="0" borderId="6" xfId="0" applyFont="1" applyBorder="1"/>
    <xf numFmtId="9" fontId="18" fillId="0" borderId="6" xfId="0" applyNumberFormat="1" applyFont="1" applyBorder="1" applyAlignment="1">
      <alignment horizontal="center" vertical="center"/>
    </xf>
    <xf numFmtId="165" fontId="18" fillId="0" borderId="6" xfId="0" applyNumberFormat="1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171" fontId="20" fillId="4" borderId="3" xfId="0" applyNumberFormat="1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horizontal="center" vertical="center"/>
    </xf>
    <xf numFmtId="165" fontId="16" fillId="6" borderId="6" xfId="0" applyNumberFormat="1" applyFont="1" applyFill="1" applyBorder="1" applyAlignment="1">
      <alignment horizontal="center" vertical="center"/>
    </xf>
    <xf numFmtId="3" fontId="16" fillId="6" borderId="6" xfId="0" applyNumberFormat="1" applyFont="1" applyFill="1" applyBorder="1" applyAlignment="1">
      <alignment horizontal="center" vertical="center"/>
    </xf>
    <xf numFmtId="0" fontId="4" fillId="6" borderId="6" xfId="0" applyFont="1" applyFill="1" applyBorder="1" applyAlignment="1">
      <alignment vertical="center"/>
    </xf>
    <xf numFmtId="0" fontId="8" fillId="6" borderId="6" xfId="0" applyFont="1" applyFill="1" applyBorder="1"/>
    <xf numFmtId="0" fontId="8" fillId="6" borderId="0" xfId="0" applyFont="1" applyFill="1"/>
    <xf numFmtId="0" fontId="14" fillId="7" borderId="0" xfId="0" applyFont="1" applyFill="1" applyAlignment="1">
      <alignment vertical="center"/>
    </xf>
    <xf numFmtId="168" fontId="15" fillId="8" borderId="5" xfId="0" applyNumberFormat="1" applyFont="1" applyFill="1" applyBorder="1" applyAlignment="1">
      <alignment horizontal="left" vertical="center" wrapText="1"/>
    </xf>
    <xf numFmtId="0" fontId="15" fillId="8" borderId="5" xfId="0" applyFont="1" applyFill="1" applyBorder="1" applyAlignment="1">
      <alignment horizontal="left" vertical="center" wrapText="1"/>
    </xf>
    <xf numFmtId="0" fontId="15" fillId="8" borderId="5" xfId="0" applyFont="1" applyFill="1" applyBorder="1" applyAlignment="1">
      <alignment vertical="center"/>
    </xf>
    <xf numFmtId="169" fontId="15" fillId="8" borderId="5" xfId="0" applyNumberFormat="1" applyFont="1" applyFill="1" applyBorder="1" applyAlignment="1">
      <alignment vertical="center" wrapText="1"/>
    </xf>
    <xf numFmtId="0" fontId="15" fillId="8" borderId="5" xfId="0" applyFont="1" applyFill="1" applyBorder="1" applyAlignment="1">
      <alignment horizontal="center" vertical="center" wrapText="1"/>
    </xf>
    <xf numFmtId="167" fontId="15" fillId="8" borderId="0" xfId="0" applyNumberFormat="1" applyFont="1" applyFill="1" applyAlignment="1">
      <alignment horizontal="center" vertical="center" wrapText="1"/>
    </xf>
    <xf numFmtId="0" fontId="15" fillId="7" borderId="6" xfId="0" applyFont="1" applyFill="1" applyBorder="1" applyAlignment="1">
      <alignment horizontal="center" vertical="center"/>
    </xf>
    <xf numFmtId="165" fontId="15" fillId="7" borderId="6" xfId="0" applyNumberFormat="1" applyFont="1" applyFill="1" applyBorder="1" applyAlignment="1">
      <alignment horizontal="center" vertical="center"/>
    </xf>
    <xf numFmtId="3" fontId="15" fillId="7" borderId="6" xfId="0" applyNumberFormat="1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vertical="center"/>
    </xf>
    <xf numFmtId="0" fontId="2" fillId="7" borderId="6" xfId="0" applyFont="1" applyFill="1" applyBorder="1"/>
    <xf numFmtId="0" fontId="2" fillId="7" borderId="0" xfId="0" applyFont="1" applyFill="1"/>
    <xf numFmtId="0" fontId="1" fillId="0" borderId="1" xfId="0" applyFont="1" applyBorder="1"/>
    <xf numFmtId="9" fontId="15" fillId="8" borderId="5" xfId="1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7" fillId="0" borderId="8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15" borderId="0" xfId="0" applyFont="1" applyFill="1" applyAlignment="1">
      <alignment vertical="center"/>
    </xf>
    <xf numFmtId="167" fontId="16" fillId="15" borderId="0" xfId="0" applyNumberFormat="1" applyFont="1" applyFill="1" applyAlignment="1">
      <alignment horizontal="center" vertical="center" wrapText="1"/>
    </xf>
    <xf numFmtId="168" fontId="19" fillId="15" borderId="0" xfId="0" applyNumberFormat="1" applyFont="1" applyFill="1" applyAlignment="1">
      <alignment horizontal="left" vertical="center"/>
    </xf>
    <xf numFmtId="0" fontId="19" fillId="15" borderId="0" xfId="0" applyFont="1" applyFill="1" applyAlignment="1">
      <alignment vertical="center"/>
    </xf>
    <xf numFmtId="0" fontId="19" fillId="15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68" fontId="19" fillId="16" borderId="0" xfId="0" applyNumberFormat="1" applyFont="1" applyFill="1" applyAlignment="1">
      <alignment horizontal="left" vertical="center"/>
    </xf>
    <xf numFmtId="0" fontId="19" fillId="16" borderId="0" xfId="0" applyFont="1" applyFill="1" applyAlignment="1">
      <alignment vertical="center"/>
    </xf>
    <xf numFmtId="0" fontId="19" fillId="16" borderId="0" xfId="0" applyFont="1" applyFill="1" applyAlignment="1">
      <alignment horizontal="center" vertical="center"/>
    </xf>
    <xf numFmtId="9" fontId="19" fillId="16" borderId="0" xfId="0" applyNumberFormat="1" applyFont="1" applyFill="1" applyAlignment="1">
      <alignment horizontal="center" vertical="center"/>
    </xf>
    <xf numFmtId="167" fontId="19" fillId="16" borderId="0" xfId="0" applyNumberFormat="1" applyFont="1" applyFill="1" applyAlignment="1">
      <alignment horizontal="center" vertical="center"/>
    </xf>
    <xf numFmtId="0" fontId="16" fillId="16" borderId="0" xfId="0" applyFont="1" applyFill="1" applyAlignment="1">
      <alignment horizontal="left" vertical="center" wrapText="1"/>
    </xf>
    <xf numFmtId="0" fontId="16" fillId="16" borderId="0" xfId="0" applyFont="1" applyFill="1" applyAlignment="1">
      <alignment horizontal="center" vertical="center"/>
    </xf>
    <xf numFmtId="169" fontId="16" fillId="16" borderId="0" xfId="0" applyNumberFormat="1" applyFont="1" applyFill="1" applyAlignment="1">
      <alignment vertical="center" wrapText="1"/>
    </xf>
    <xf numFmtId="0" fontId="16" fillId="16" borderId="0" xfId="0" applyFont="1" applyFill="1" applyAlignment="1">
      <alignment horizontal="center" vertical="center" wrapText="1"/>
    </xf>
    <xf numFmtId="0" fontId="1" fillId="16" borderId="0" xfId="0" applyFont="1" applyFill="1" applyAlignment="1">
      <alignment vertical="center"/>
    </xf>
    <xf numFmtId="0" fontId="17" fillId="0" borderId="9" xfId="0" applyFont="1" applyBorder="1" applyAlignment="1">
      <alignment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13" borderId="9" xfId="0" applyFont="1" applyFill="1" applyBorder="1" applyAlignment="1">
      <alignment horizontal="center" vertical="center" wrapText="1"/>
    </xf>
    <xf numFmtId="166" fontId="17" fillId="0" borderId="9" xfId="0" applyNumberFormat="1" applyFont="1" applyBorder="1" applyAlignment="1">
      <alignment horizontal="left" vertical="center" wrapText="1"/>
    </xf>
    <xf numFmtId="0" fontId="17" fillId="9" borderId="11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9" fontId="18" fillId="0" borderId="13" xfId="0" applyNumberFormat="1" applyFont="1" applyBorder="1" applyAlignment="1">
      <alignment horizontal="center" vertical="center"/>
    </xf>
    <xf numFmtId="168" fontId="17" fillId="0" borderId="11" xfId="0" applyNumberFormat="1" applyFont="1" applyBorder="1" applyAlignment="1">
      <alignment horizontal="left" vertical="center" wrapText="1"/>
    </xf>
    <xf numFmtId="14" fontId="17" fillId="14" borderId="10" xfId="0" applyNumberFormat="1" applyFont="1" applyFill="1" applyBorder="1" applyAlignment="1">
      <alignment horizontal="center" vertical="center" wrapText="1"/>
    </xf>
    <xf numFmtId="164" fontId="17" fillId="0" borderId="10" xfId="0" applyNumberFormat="1" applyFont="1" applyBorder="1" applyAlignment="1">
      <alignment horizontal="left" vertical="center" wrapText="1"/>
    </xf>
    <xf numFmtId="168" fontId="16" fillId="15" borderId="0" xfId="0" applyNumberFormat="1" applyFont="1" applyFill="1" applyAlignment="1">
      <alignment horizontal="left" vertical="center" wrapText="1"/>
    </xf>
    <xf numFmtId="0" fontId="16" fillId="15" borderId="0" xfId="0" applyFont="1" applyFill="1" applyAlignment="1">
      <alignment horizontal="left" vertical="center" wrapText="1"/>
    </xf>
    <xf numFmtId="0" fontId="16" fillId="15" borderId="0" xfId="0" applyFont="1" applyFill="1" applyAlignment="1">
      <alignment vertical="center"/>
    </xf>
    <xf numFmtId="0" fontId="16" fillId="15" borderId="0" xfId="0" applyFont="1" applyFill="1" applyAlignment="1">
      <alignment horizontal="center" vertical="center"/>
    </xf>
    <xf numFmtId="169" fontId="16" fillId="15" borderId="0" xfId="0" applyNumberFormat="1" applyFont="1" applyFill="1" applyAlignment="1">
      <alignment vertical="center" wrapText="1"/>
    </xf>
    <xf numFmtId="0" fontId="16" fillId="15" borderId="0" xfId="0" applyFont="1" applyFill="1" applyAlignment="1">
      <alignment horizontal="center" vertical="center" wrapText="1"/>
    </xf>
    <xf numFmtId="9" fontId="16" fillId="15" borderId="0" xfId="1" applyFont="1" applyFill="1" applyBorder="1" applyAlignment="1">
      <alignment horizontal="center" vertical="center" wrapText="1"/>
    </xf>
    <xf numFmtId="0" fontId="1" fillId="0" borderId="11" xfId="0" applyFont="1" applyBorder="1" applyAlignment="1">
      <alignment vertical="center"/>
    </xf>
    <xf numFmtId="0" fontId="17" fillId="12" borderId="12" xfId="0" applyFont="1" applyFill="1" applyBorder="1" applyAlignment="1">
      <alignment horizontal="center" vertical="center" wrapText="1"/>
    </xf>
    <xf numFmtId="164" fontId="17" fillId="0" borderId="10" xfId="0" applyNumberFormat="1" applyFont="1" applyBorder="1" applyAlignment="1">
      <alignment horizontal="center" vertical="center" wrapText="1"/>
    </xf>
    <xf numFmtId="0" fontId="17" fillId="14" borderId="10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horizontal="center"/>
    </xf>
    <xf numFmtId="16" fontId="17" fillId="14" borderId="10" xfId="0" applyNumberFormat="1" applyFont="1" applyFill="1" applyBorder="1" applyAlignment="1">
      <alignment horizontal="center" vertical="center" wrapText="1"/>
    </xf>
    <xf numFmtId="9" fontId="17" fillId="0" borderId="10" xfId="1" applyFont="1" applyBorder="1" applyAlignment="1">
      <alignment horizontal="center" vertical="center" wrapText="1"/>
    </xf>
    <xf numFmtId="167" fontId="17" fillId="0" borderId="10" xfId="0" applyNumberFormat="1" applyFont="1" applyBorder="1" applyAlignment="1">
      <alignment horizontal="center" vertical="center" wrapText="1"/>
    </xf>
    <xf numFmtId="0" fontId="4" fillId="15" borderId="0" xfId="0" applyFont="1" applyFill="1" applyAlignment="1">
      <alignment vertical="center"/>
    </xf>
    <xf numFmtId="168" fontId="16" fillId="17" borderId="5" xfId="0" applyNumberFormat="1" applyFont="1" applyFill="1" applyBorder="1" applyAlignment="1">
      <alignment horizontal="left" vertical="center" wrapText="1"/>
    </xf>
    <xf numFmtId="0" fontId="16" fillId="17" borderId="5" xfId="0" applyFont="1" applyFill="1" applyBorder="1" applyAlignment="1">
      <alignment vertical="center"/>
    </xf>
    <xf numFmtId="169" fontId="16" fillId="17" borderId="5" xfId="0" applyNumberFormat="1" applyFont="1" applyFill="1" applyBorder="1" applyAlignment="1">
      <alignment vertical="center" wrapText="1"/>
    </xf>
    <xf numFmtId="0" fontId="16" fillId="17" borderId="5" xfId="0" applyFont="1" applyFill="1" applyBorder="1" applyAlignment="1">
      <alignment horizontal="center" vertical="center" wrapText="1"/>
    </xf>
    <xf numFmtId="9" fontId="16" fillId="17" borderId="5" xfId="1" applyFont="1" applyFill="1" applyBorder="1" applyAlignment="1">
      <alignment horizontal="center" vertical="center" wrapText="1"/>
    </xf>
    <xf numFmtId="167" fontId="16" fillId="17" borderId="0" xfId="0" applyNumberFormat="1" applyFont="1" applyFill="1" applyAlignment="1">
      <alignment horizontal="center" vertical="center" wrapText="1"/>
    </xf>
    <xf numFmtId="0" fontId="12" fillId="0" borderId="2" xfId="0" applyFont="1" applyBorder="1" applyAlignment="1">
      <alignment horizontal="left" vertical="center"/>
    </xf>
    <xf numFmtId="0" fontId="1" fillId="0" borderId="2" xfId="0" applyFont="1" applyBorder="1"/>
    <xf numFmtId="164" fontId="13" fillId="0" borderId="2" xfId="0" applyNumberFormat="1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0" fontId="1" fillId="0" borderId="1" xfId="0" applyFont="1" applyBorder="1"/>
    <xf numFmtId="0" fontId="6" fillId="2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vertical="center"/>
    </xf>
    <xf numFmtId="0" fontId="13" fillId="0" borderId="2" xfId="0" applyFont="1" applyBorder="1" applyAlignment="1">
      <alignment horizontal="left" vertical="center"/>
    </xf>
    <xf numFmtId="0" fontId="18" fillId="3" borderId="0" xfId="0" applyFont="1" applyFill="1" applyAlignment="1">
      <alignment horizontal="center" vertical="center" wrapText="1"/>
    </xf>
    <xf numFmtId="0" fontId="8" fillId="0" borderId="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1" fillId="0" borderId="0" xfId="0" applyFont="1"/>
    <xf numFmtId="14" fontId="8" fillId="0" borderId="2" xfId="0" applyNumberFormat="1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166" fontId="17" fillId="0" borderId="14" xfId="0" applyNumberFormat="1" applyFont="1" applyBorder="1" applyAlignment="1">
      <alignment horizontal="left" vertical="center" wrapText="1"/>
    </xf>
    <xf numFmtId="166" fontId="17" fillId="0" borderId="15" xfId="0" applyNumberFormat="1" applyFont="1" applyBorder="1" applyAlignment="1">
      <alignment horizontal="left" vertical="center" wrapText="1"/>
    </xf>
    <xf numFmtId="166" fontId="17" fillId="0" borderId="9" xfId="0" applyNumberFormat="1" applyFont="1" applyBorder="1" applyAlignment="1">
      <alignment horizontal="left" vertical="center" wrapText="1"/>
    </xf>
    <xf numFmtId="166" fontId="17" fillId="0" borderId="12" xfId="0" applyNumberFormat="1" applyFont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left" vertical="center"/>
    </xf>
    <xf numFmtId="0" fontId="16" fillId="15" borderId="9" xfId="0" applyFont="1" applyFill="1" applyBorder="1" applyAlignment="1">
      <alignment horizontal="left" vertical="center"/>
    </xf>
    <xf numFmtId="0" fontId="17" fillId="0" borderId="9" xfId="0" applyFont="1" applyBorder="1" applyAlignment="1">
      <alignment horizontal="left" vertical="center" wrapText="1"/>
    </xf>
    <xf numFmtId="0" fontId="17" fillId="0" borderId="12" xfId="0" applyFont="1" applyBorder="1" applyAlignment="1">
      <alignment horizontal="left" vertical="center" wrapText="1"/>
    </xf>
    <xf numFmtId="9" fontId="17" fillId="0" borderId="0" xfId="1" applyFont="1" applyBorder="1" applyAlignment="1">
      <alignment horizontal="center" vertical="center" wrapText="1"/>
    </xf>
    <xf numFmtId="168" fontId="17" fillId="0" borderId="0" xfId="0" applyNumberFormat="1" applyFont="1" applyBorder="1" applyAlignment="1">
      <alignment horizontal="left" vertical="center" wrapText="1"/>
    </xf>
    <xf numFmtId="166" fontId="17" fillId="0" borderId="0" xfId="0" applyNumberFormat="1" applyFont="1" applyBorder="1" applyAlignment="1">
      <alignment horizontal="left" vertical="center" wrapText="1"/>
    </xf>
    <xf numFmtId="0" fontId="17" fillId="0" borderId="0" xfId="0" applyFont="1" applyBorder="1" applyAlignment="1">
      <alignment vertical="center" wrapText="1"/>
    </xf>
    <xf numFmtId="164" fontId="17" fillId="0" borderId="0" xfId="0" applyNumberFormat="1" applyFont="1" applyBorder="1" applyAlignment="1">
      <alignment horizontal="center" vertical="center" wrapText="1"/>
    </xf>
    <xf numFmtId="14" fontId="17" fillId="14" borderId="0" xfId="0" applyNumberFormat="1" applyFont="1" applyFill="1" applyBorder="1" applyAlignment="1">
      <alignment horizontal="center" vertical="center" wrapText="1"/>
    </xf>
    <xf numFmtId="164" fontId="17" fillId="0" borderId="0" xfId="0" applyNumberFormat="1" applyFont="1" applyBorder="1" applyAlignment="1">
      <alignment horizontal="left" vertical="center" wrapText="1"/>
    </xf>
    <xf numFmtId="0" fontId="17" fillId="0" borderId="0" xfId="0" applyFont="1" applyBorder="1" applyAlignment="1">
      <alignment horizontal="center" vertical="center" wrapText="1"/>
    </xf>
    <xf numFmtId="167" fontId="17" fillId="0" borderId="0" xfId="0" applyNumberFormat="1" applyFont="1" applyBorder="1" applyAlignment="1">
      <alignment horizontal="center" vertical="center" wrapText="1"/>
    </xf>
    <xf numFmtId="9" fontId="18" fillId="0" borderId="0" xfId="0" applyNumberFormat="1" applyFont="1" applyBorder="1" applyAlignment="1">
      <alignment horizontal="center" vertical="center"/>
    </xf>
    <xf numFmtId="165" fontId="18" fillId="0" borderId="0" xfId="0" applyNumberFormat="1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8" fillId="0" borderId="0" xfId="0" applyFont="1" applyBorder="1"/>
  </cellXfs>
  <cellStyles count="2">
    <cellStyle name="Normal" xfId="0" builtinId="0"/>
    <cellStyle name="Pourcentage" xfId="1" builtinId="5"/>
  </cellStyles>
  <dxfs count="47"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F1CC"/>
      <color rgb="FFD2FCF9"/>
      <color rgb="FFFBE8E7"/>
      <color rgb="FFF2EAFF"/>
      <color rgb="FFFF68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  <outlinePr summaryBelow="0" summaryRight="0"/>
  </sheetPr>
  <dimension ref="A1:CY33"/>
  <sheetViews>
    <sheetView showGridLines="0" tabSelected="1" zoomScaleNormal="100" workbookViewId="0">
      <selection activeCell="C32" sqref="C32"/>
    </sheetView>
  </sheetViews>
  <sheetFormatPr baseColWidth="10" defaultColWidth="14.42578125" defaultRowHeight="15.75" customHeight="1" outlineLevelRow="1" x14ac:dyDescent="0.2"/>
  <cols>
    <col min="1" max="1" width="2.28515625" style="2" bestFit="1" customWidth="1"/>
    <col min="2" max="2" width="8" style="2" bestFit="1" customWidth="1"/>
    <col min="3" max="3" width="5.140625" style="2" bestFit="1" customWidth="1"/>
    <col min="4" max="4" width="37.85546875" style="2" bestFit="1" customWidth="1"/>
    <col min="5" max="11" width="15.28515625" style="2" customWidth="1"/>
    <col min="12" max="13" width="9" style="2" bestFit="1" customWidth="1"/>
    <col min="14" max="14" width="10.7109375" style="11" bestFit="1" customWidth="1"/>
    <col min="15" max="15" width="11.85546875" style="2" bestFit="1" customWidth="1"/>
    <col min="16" max="16" width="12.42578125" style="2" bestFit="1" customWidth="1"/>
    <col min="17" max="37" width="8" style="2" bestFit="1" customWidth="1"/>
    <col min="38" max="59" width="9.7109375" style="2" bestFit="1" customWidth="1"/>
    <col min="60" max="81" width="9.42578125" style="2" bestFit="1" customWidth="1"/>
    <col min="82" max="103" width="7.42578125" style="2" bestFit="1" customWidth="1"/>
    <col min="104" max="16384" width="14.42578125" style="2"/>
  </cols>
  <sheetData>
    <row r="1" spans="1:103" ht="21" customHeight="1" thickBot="1" x14ac:dyDescent="0.25">
      <c r="A1" s="1"/>
      <c r="B1" s="100" t="s">
        <v>3</v>
      </c>
      <c r="C1" s="100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42"/>
      <c r="Q1" s="102"/>
      <c r="R1" s="101"/>
      <c r="S1" s="101"/>
      <c r="T1" s="101"/>
      <c r="U1" s="101"/>
      <c r="V1" s="103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"/>
    </row>
    <row r="2" spans="1:103" ht="21" customHeight="1" thickTop="1" x14ac:dyDescent="0.2">
      <c r="A2" s="1"/>
      <c r="B2" s="3"/>
      <c r="C2" s="3"/>
      <c r="D2" s="3"/>
      <c r="E2" s="3"/>
      <c r="F2" s="3"/>
      <c r="G2" s="3"/>
      <c r="H2" s="3"/>
      <c r="I2" s="3"/>
      <c r="J2" s="3"/>
      <c r="K2" s="3"/>
      <c r="L2" s="4"/>
      <c r="M2" s="4"/>
      <c r="N2" s="5"/>
      <c r="O2" s="4"/>
      <c r="P2" s="4"/>
      <c r="Q2" s="6"/>
      <c r="R2" s="6"/>
      <c r="S2" s="6"/>
      <c r="T2" s="6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103" ht="21" customHeight="1" x14ac:dyDescent="0.2">
      <c r="A3" s="1"/>
      <c r="B3" s="96" t="s">
        <v>12</v>
      </c>
      <c r="C3" s="96"/>
      <c r="D3" s="97"/>
      <c r="E3" s="104" t="s">
        <v>47</v>
      </c>
      <c r="F3" s="97"/>
      <c r="G3" s="97"/>
      <c r="H3" s="97"/>
      <c r="I3" s="15"/>
      <c r="J3" s="15"/>
      <c r="K3" s="15"/>
      <c r="O3" s="7"/>
      <c r="P3" s="7"/>
      <c r="Q3" s="96" t="s">
        <v>13</v>
      </c>
      <c r="R3" s="97"/>
      <c r="S3" s="97"/>
      <c r="T3" s="97"/>
      <c r="U3" s="97"/>
      <c r="V3" s="97"/>
      <c r="W3" s="105" t="s">
        <v>49</v>
      </c>
      <c r="X3" s="97"/>
      <c r="Y3" s="97"/>
      <c r="Z3" s="97"/>
      <c r="AA3" s="97"/>
      <c r="AB3" s="97"/>
      <c r="AC3" s="97"/>
      <c r="AD3" s="97"/>
      <c r="AE3" s="97"/>
      <c r="AF3" s="97"/>
      <c r="AG3" s="1"/>
    </row>
    <row r="4" spans="1:103" ht="21" customHeight="1" x14ac:dyDescent="0.2">
      <c r="A4" s="1"/>
      <c r="B4" s="96" t="s">
        <v>11</v>
      </c>
      <c r="C4" s="96"/>
      <c r="D4" s="97"/>
      <c r="E4" s="107" t="s">
        <v>18</v>
      </c>
      <c r="F4" s="97"/>
      <c r="G4" s="97"/>
      <c r="H4" s="97"/>
      <c r="I4" s="15"/>
      <c r="J4" s="15"/>
      <c r="K4" s="15"/>
      <c r="O4" s="8"/>
      <c r="P4" s="8"/>
      <c r="Q4" s="96" t="s">
        <v>14</v>
      </c>
      <c r="R4" s="97"/>
      <c r="S4" s="97"/>
      <c r="T4" s="97"/>
      <c r="U4" s="97"/>
      <c r="V4" s="97"/>
      <c r="W4" s="98">
        <v>45939</v>
      </c>
      <c r="X4" s="97"/>
      <c r="Y4" s="97"/>
      <c r="Z4" s="97"/>
      <c r="AA4" s="97"/>
      <c r="AB4" s="97"/>
      <c r="AC4" s="97"/>
      <c r="AD4" s="97"/>
      <c r="AE4" s="97"/>
      <c r="AF4" s="97"/>
      <c r="AG4" s="1"/>
    </row>
    <row r="5" spans="1:103" ht="21" customHeight="1" x14ac:dyDescent="0.2">
      <c r="A5" s="1"/>
      <c r="B5" s="96" t="s">
        <v>15</v>
      </c>
      <c r="C5" s="96"/>
      <c r="D5" s="97"/>
      <c r="E5" s="44" t="s">
        <v>48</v>
      </c>
      <c r="F5" s="44"/>
      <c r="G5" s="44"/>
      <c r="H5" s="44"/>
      <c r="I5" s="45"/>
      <c r="J5" s="45"/>
      <c r="K5" s="45"/>
      <c r="O5" s="45"/>
      <c r="P5" s="45"/>
      <c r="Q5" s="99"/>
      <c r="R5" s="99"/>
      <c r="S5" s="99"/>
      <c r="T5" s="99"/>
      <c r="U5" s="99"/>
      <c r="V5" s="99"/>
      <c r="W5" s="99"/>
      <c r="X5" s="45"/>
      <c r="Y5" s="45"/>
      <c r="Z5" s="45"/>
      <c r="AA5" s="45"/>
      <c r="AB5" s="45"/>
      <c r="AC5" s="45"/>
      <c r="AD5" s="44"/>
      <c r="AE5" s="44"/>
      <c r="AF5" s="44"/>
      <c r="AG5" s="44"/>
      <c r="AH5" s="44"/>
      <c r="AI5" s="44"/>
      <c r="AJ5" s="44"/>
      <c r="AK5" s="44"/>
      <c r="AL5" s="44"/>
      <c r="AM5" s="1"/>
    </row>
    <row r="6" spans="1:103" ht="21" customHeight="1" x14ac:dyDescent="0.2">
      <c r="A6" s="1"/>
      <c r="B6" s="96" t="s">
        <v>38</v>
      </c>
      <c r="C6" s="96"/>
      <c r="D6" s="97"/>
      <c r="E6" s="110">
        <v>45939</v>
      </c>
      <c r="F6" s="111"/>
      <c r="G6" s="111"/>
      <c r="H6" s="111"/>
      <c r="I6" s="47"/>
      <c r="J6" s="47"/>
      <c r="K6" s="47"/>
      <c r="O6" s="15"/>
      <c r="P6" s="15"/>
      <c r="Q6" s="15"/>
      <c r="R6" s="108"/>
      <c r="S6" s="109"/>
      <c r="T6" s="109"/>
      <c r="U6" s="109"/>
      <c r="V6" s="108"/>
      <c r="W6" s="109"/>
      <c r="X6" s="15"/>
      <c r="Y6" s="15"/>
      <c r="Z6" s="15"/>
      <c r="AA6" s="15"/>
      <c r="AB6" s="15"/>
      <c r="AC6" s="15"/>
      <c r="AD6" s="15"/>
      <c r="AE6" s="15"/>
      <c r="AF6" s="15"/>
      <c r="AG6" s="1"/>
    </row>
    <row r="7" spans="1:103" ht="21" customHeight="1" x14ac:dyDescent="0.2">
      <c r="A7" s="1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9"/>
      <c r="O7" s="9"/>
      <c r="P7" s="9"/>
      <c r="Q7" s="6"/>
      <c r="R7" s="6"/>
      <c r="S7" s="6"/>
      <c r="T7" s="6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103" ht="23.45" customHeight="1" x14ac:dyDescent="0.2">
      <c r="A8" s="12"/>
      <c r="B8" s="106" t="s">
        <v>10</v>
      </c>
      <c r="C8" s="106" t="s">
        <v>0</v>
      </c>
      <c r="D8" s="106" t="s">
        <v>9</v>
      </c>
      <c r="E8" s="106" t="s">
        <v>19</v>
      </c>
      <c r="F8" s="106" t="s">
        <v>20</v>
      </c>
      <c r="G8" s="106" t="s">
        <v>21</v>
      </c>
      <c r="H8" s="106" t="s">
        <v>22</v>
      </c>
      <c r="I8" s="106" t="s">
        <v>25</v>
      </c>
      <c r="J8" s="106" t="s">
        <v>37</v>
      </c>
      <c r="K8" s="106" t="s">
        <v>36</v>
      </c>
      <c r="L8" s="106" t="s">
        <v>8</v>
      </c>
      <c r="M8" s="106" t="s">
        <v>7</v>
      </c>
      <c r="N8" s="106" t="s">
        <v>6</v>
      </c>
      <c r="O8" s="106" t="s">
        <v>5</v>
      </c>
      <c r="P8" s="106" t="s">
        <v>16</v>
      </c>
      <c r="Q8" s="22">
        <f>Q10</f>
        <v>45939</v>
      </c>
      <c r="R8" s="22">
        <f t="shared" ref="R8:CC8" si="0">R10</f>
        <v>45940</v>
      </c>
      <c r="S8" s="22">
        <f t="shared" si="0"/>
        <v>45943</v>
      </c>
      <c r="T8" s="22">
        <f t="shared" si="0"/>
        <v>45944</v>
      </c>
      <c r="U8" s="22">
        <f t="shared" si="0"/>
        <v>45945</v>
      </c>
      <c r="V8" s="22">
        <f t="shared" si="0"/>
        <v>45946</v>
      </c>
      <c r="W8" s="22">
        <f t="shared" si="0"/>
        <v>45947</v>
      </c>
      <c r="X8" s="22">
        <f t="shared" si="0"/>
        <v>45950</v>
      </c>
      <c r="Y8" s="22">
        <f t="shared" si="0"/>
        <v>45951</v>
      </c>
      <c r="Z8" s="22">
        <f t="shared" si="0"/>
        <v>45952</v>
      </c>
      <c r="AA8" s="22">
        <f t="shared" si="0"/>
        <v>45953</v>
      </c>
      <c r="AB8" s="22">
        <f t="shared" si="0"/>
        <v>45954</v>
      </c>
      <c r="AC8" s="22">
        <f t="shared" si="0"/>
        <v>45957</v>
      </c>
      <c r="AD8" s="22">
        <f t="shared" si="0"/>
        <v>45958</v>
      </c>
      <c r="AE8" s="22">
        <f t="shared" si="0"/>
        <v>45959</v>
      </c>
      <c r="AF8" s="22">
        <f t="shared" si="0"/>
        <v>45960</v>
      </c>
      <c r="AG8" s="22">
        <f t="shared" si="0"/>
        <v>45961</v>
      </c>
      <c r="AH8" s="22">
        <f t="shared" si="0"/>
        <v>45964</v>
      </c>
      <c r="AI8" s="22">
        <f t="shared" si="0"/>
        <v>45965</v>
      </c>
      <c r="AJ8" s="22">
        <f t="shared" si="0"/>
        <v>45966</v>
      </c>
      <c r="AK8" s="22">
        <f t="shared" si="0"/>
        <v>45967</v>
      </c>
      <c r="AL8" s="22">
        <f t="shared" si="0"/>
        <v>45968</v>
      </c>
      <c r="AM8" s="22">
        <f t="shared" si="0"/>
        <v>45971</v>
      </c>
      <c r="AN8" s="22">
        <f t="shared" si="0"/>
        <v>45972</v>
      </c>
      <c r="AO8" s="22">
        <f t="shared" si="0"/>
        <v>45973</v>
      </c>
      <c r="AP8" s="22">
        <f t="shared" si="0"/>
        <v>45974</v>
      </c>
      <c r="AQ8" s="22">
        <f t="shared" si="0"/>
        <v>45975</v>
      </c>
      <c r="AR8" s="22">
        <f t="shared" si="0"/>
        <v>45978</v>
      </c>
      <c r="AS8" s="22">
        <f t="shared" si="0"/>
        <v>45979</v>
      </c>
      <c r="AT8" s="22">
        <f t="shared" si="0"/>
        <v>45980</v>
      </c>
      <c r="AU8" s="22">
        <f t="shared" si="0"/>
        <v>45981</v>
      </c>
      <c r="AV8" s="22">
        <f t="shared" si="0"/>
        <v>45982</v>
      </c>
      <c r="AW8" s="22">
        <f t="shared" si="0"/>
        <v>45985</v>
      </c>
      <c r="AX8" s="22">
        <f t="shared" si="0"/>
        <v>45986</v>
      </c>
      <c r="AY8" s="22">
        <f t="shared" si="0"/>
        <v>45987</v>
      </c>
      <c r="AZ8" s="22">
        <f t="shared" si="0"/>
        <v>45988</v>
      </c>
      <c r="BA8" s="22">
        <f t="shared" si="0"/>
        <v>45989</v>
      </c>
      <c r="BB8" s="22">
        <f t="shared" si="0"/>
        <v>45992</v>
      </c>
      <c r="BC8" s="22">
        <f t="shared" si="0"/>
        <v>45993</v>
      </c>
      <c r="BD8" s="22">
        <f t="shared" si="0"/>
        <v>45994</v>
      </c>
      <c r="BE8" s="22">
        <f t="shared" si="0"/>
        <v>45995</v>
      </c>
      <c r="BF8" s="22">
        <f t="shared" si="0"/>
        <v>45996</v>
      </c>
      <c r="BG8" s="22">
        <f t="shared" si="0"/>
        <v>45999</v>
      </c>
      <c r="BH8" s="22">
        <f t="shared" si="0"/>
        <v>46000</v>
      </c>
      <c r="BI8" s="22">
        <f t="shared" si="0"/>
        <v>46001</v>
      </c>
      <c r="BJ8" s="22">
        <f t="shared" si="0"/>
        <v>46002</v>
      </c>
      <c r="BK8" s="22">
        <f t="shared" si="0"/>
        <v>46003</v>
      </c>
      <c r="BL8" s="22">
        <f t="shared" si="0"/>
        <v>46006</v>
      </c>
      <c r="BM8" s="22">
        <f t="shared" si="0"/>
        <v>46007</v>
      </c>
      <c r="BN8" s="22">
        <f t="shared" si="0"/>
        <v>46008</v>
      </c>
      <c r="BO8" s="22">
        <f t="shared" si="0"/>
        <v>46009</v>
      </c>
      <c r="BP8" s="22">
        <f t="shared" si="0"/>
        <v>46010</v>
      </c>
      <c r="BQ8" s="22">
        <f t="shared" si="0"/>
        <v>46013</v>
      </c>
      <c r="BR8" s="22">
        <f t="shared" si="0"/>
        <v>46014</v>
      </c>
      <c r="BS8" s="22">
        <f t="shared" si="0"/>
        <v>46015</v>
      </c>
      <c r="BT8" s="22">
        <f t="shared" si="0"/>
        <v>46016</v>
      </c>
      <c r="BU8" s="22">
        <f t="shared" si="0"/>
        <v>46017</v>
      </c>
      <c r="BV8" s="22">
        <f t="shared" si="0"/>
        <v>46020</v>
      </c>
      <c r="BW8" s="22">
        <f t="shared" si="0"/>
        <v>46021</v>
      </c>
      <c r="BX8" s="22">
        <f t="shared" si="0"/>
        <v>46022</v>
      </c>
      <c r="BY8" s="22">
        <f t="shared" si="0"/>
        <v>46023</v>
      </c>
      <c r="BZ8" s="22">
        <f t="shared" si="0"/>
        <v>46024</v>
      </c>
      <c r="CA8" s="22">
        <f t="shared" si="0"/>
        <v>46027</v>
      </c>
      <c r="CB8" s="22">
        <f t="shared" si="0"/>
        <v>46028</v>
      </c>
      <c r="CC8" s="22">
        <f t="shared" si="0"/>
        <v>46029</v>
      </c>
      <c r="CD8" s="22">
        <f t="shared" ref="CD8:CY8" si="1">CD10</f>
        <v>46030</v>
      </c>
      <c r="CE8" s="22">
        <f t="shared" si="1"/>
        <v>46031</v>
      </c>
      <c r="CF8" s="22">
        <f t="shared" si="1"/>
        <v>46034</v>
      </c>
      <c r="CG8" s="22">
        <f t="shared" si="1"/>
        <v>46035</v>
      </c>
      <c r="CH8" s="22">
        <f t="shared" si="1"/>
        <v>46036</v>
      </c>
      <c r="CI8" s="22">
        <f t="shared" si="1"/>
        <v>46037</v>
      </c>
      <c r="CJ8" s="22">
        <f t="shared" si="1"/>
        <v>46038</v>
      </c>
      <c r="CK8" s="22">
        <f t="shared" si="1"/>
        <v>46041</v>
      </c>
      <c r="CL8" s="22">
        <f t="shared" si="1"/>
        <v>46042</v>
      </c>
      <c r="CM8" s="22">
        <f t="shared" si="1"/>
        <v>46043</v>
      </c>
      <c r="CN8" s="22">
        <f t="shared" si="1"/>
        <v>46044</v>
      </c>
      <c r="CO8" s="22">
        <f t="shared" si="1"/>
        <v>46045</v>
      </c>
      <c r="CP8" s="22">
        <f t="shared" si="1"/>
        <v>46048</v>
      </c>
      <c r="CQ8" s="22">
        <f t="shared" si="1"/>
        <v>46049</v>
      </c>
      <c r="CR8" s="22">
        <f t="shared" si="1"/>
        <v>46050</v>
      </c>
      <c r="CS8" s="22">
        <f t="shared" si="1"/>
        <v>46051</v>
      </c>
      <c r="CT8" s="22">
        <f t="shared" si="1"/>
        <v>46052</v>
      </c>
      <c r="CU8" s="22">
        <f t="shared" si="1"/>
        <v>46055</v>
      </c>
      <c r="CV8" s="22">
        <f t="shared" si="1"/>
        <v>46056</v>
      </c>
      <c r="CW8" s="22">
        <f t="shared" si="1"/>
        <v>46057</v>
      </c>
      <c r="CX8" s="22">
        <f t="shared" si="1"/>
        <v>46058</v>
      </c>
      <c r="CY8" s="22">
        <f t="shared" si="1"/>
        <v>46059</v>
      </c>
    </row>
    <row r="9" spans="1:103" ht="22.7" customHeight="1" x14ac:dyDescent="0.2">
      <c r="A9" s="10"/>
      <c r="B9" s="106"/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3" t="str">
        <f>"Sem"&amp;"-"&amp;(IF(WEEKNUM(Q10,2)&lt;=9,0,))&amp;WEEKNUM(Q10,2)-1</f>
        <v>Sem-40</v>
      </c>
      <c r="R9" s="13" t="str">
        <f t="shared" ref="R9:CC9" si="2">"Sem"&amp;"-"&amp;(IF(WEEKNUM(R10,2)&lt;=9,0,))&amp;WEEKNUM(R10,2)-1</f>
        <v>Sem-40</v>
      </c>
      <c r="S9" s="13" t="str">
        <f t="shared" si="2"/>
        <v>Sem-41</v>
      </c>
      <c r="T9" s="13" t="str">
        <f t="shared" si="2"/>
        <v>Sem-41</v>
      </c>
      <c r="U9" s="13" t="str">
        <f t="shared" si="2"/>
        <v>Sem-41</v>
      </c>
      <c r="V9" s="13" t="str">
        <f t="shared" si="2"/>
        <v>Sem-41</v>
      </c>
      <c r="W9" s="13" t="str">
        <f t="shared" si="2"/>
        <v>Sem-41</v>
      </c>
      <c r="X9" s="13" t="str">
        <f t="shared" si="2"/>
        <v>Sem-42</v>
      </c>
      <c r="Y9" s="13" t="str">
        <f t="shared" si="2"/>
        <v>Sem-42</v>
      </c>
      <c r="Z9" s="13" t="str">
        <f t="shared" si="2"/>
        <v>Sem-42</v>
      </c>
      <c r="AA9" s="13" t="str">
        <f t="shared" si="2"/>
        <v>Sem-42</v>
      </c>
      <c r="AB9" s="13" t="str">
        <f t="shared" si="2"/>
        <v>Sem-42</v>
      </c>
      <c r="AC9" s="13" t="str">
        <f t="shared" si="2"/>
        <v>Sem-43</v>
      </c>
      <c r="AD9" s="13" t="str">
        <f t="shared" si="2"/>
        <v>Sem-43</v>
      </c>
      <c r="AE9" s="13" t="str">
        <f t="shared" si="2"/>
        <v>Sem-43</v>
      </c>
      <c r="AF9" s="13" t="str">
        <f t="shared" si="2"/>
        <v>Sem-43</v>
      </c>
      <c r="AG9" s="13" t="str">
        <f t="shared" si="2"/>
        <v>Sem-43</v>
      </c>
      <c r="AH9" s="13" t="str">
        <f t="shared" si="2"/>
        <v>Sem-44</v>
      </c>
      <c r="AI9" s="13" t="str">
        <f t="shared" si="2"/>
        <v>Sem-44</v>
      </c>
      <c r="AJ9" s="13" t="str">
        <f t="shared" si="2"/>
        <v>Sem-44</v>
      </c>
      <c r="AK9" s="13" t="str">
        <f t="shared" si="2"/>
        <v>Sem-44</v>
      </c>
      <c r="AL9" s="13" t="str">
        <f t="shared" si="2"/>
        <v>Sem-44</v>
      </c>
      <c r="AM9" s="13" t="str">
        <f t="shared" si="2"/>
        <v>Sem-45</v>
      </c>
      <c r="AN9" s="13" t="str">
        <f t="shared" si="2"/>
        <v>Sem-45</v>
      </c>
      <c r="AO9" s="13" t="str">
        <f t="shared" si="2"/>
        <v>Sem-45</v>
      </c>
      <c r="AP9" s="13" t="str">
        <f t="shared" si="2"/>
        <v>Sem-45</v>
      </c>
      <c r="AQ9" s="13" t="str">
        <f t="shared" si="2"/>
        <v>Sem-45</v>
      </c>
      <c r="AR9" s="13" t="str">
        <f t="shared" si="2"/>
        <v>Sem-46</v>
      </c>
      <c r="AS9" s="13" t="str">
        <f t="shared" si="2"/>
        <v>Sem-46</v>
      </c>
      <c r="AT9" s="13" t="str">
        <f t="shared" si="2"/>
        <v>Sem-46</v>
      </c>
      <c r="AU9" s="13" t="str">
        <f t="shared" si="2"/>
        <v>Sem-46</v>
      </c>
      <c r="AV9" s="13" t="str">
        <f t="shared" si="2"/>
        <v>Sem-46</v>
      </c>
      <c r="AW9" s="13" t="str">
        <f t="shared" si="2"/>
        <v>Sem-47</v>
      </c>
      <c r="AX9" s="13" t="str">
        <f t="shared" si="2"/>
        <v>Sem-47</v>
      </c>
      <c r="AY9" s="13" t="str">
        <f t="shared" si="2"/>
        <v>Sem-47</v>
      </c>
      <c r="AZ9" s="13" t="str">
        <f t="shared" si="2"/>
        <v>Sem-47</v>
      </c>
      <c r="BA9" s="13" t="str">
        <f t="shared" si="2"/>
        <v>Sem-47</v>
      </c>
      <c r="BB9" s="13" t="str">
        <f t="shared" si="2"/>
        <v>Sem-48</v>
      </c>
      <c r="BC9" s="13" t="str">
        <f t="shared" si="2"/>
        <v>Sem-48</v>
      </c>
      <c r="BD9" s="13" t="str">
        <f t="shared" si="2"/>
        <v>Sem-48</v>
      </c>
      <c r="BE9" s="13" t="str">
        <f t="shared" si="2"/>
        <v>Sem-48</v>
      </c>
      <c r="BF9" s="13" t="str">
        <f t="shared" si="2"/>
        <v>Sem-48</v>
      </c>
      <c r="BG9" s="13" t="str">
        <f t="shared" si="2"/>
        <v>Sem-49</v>
      </c>
      <c r="BH9" s="13" t="str">
        <f t="shared" si="2"/>
        <v>Sem-49</v>
      </c>
      <c r="BI9" s="13" t="str">
        <f t="shared" si="2"/>
        <v>Sem-49</v>
      </c>
      <c r="BJ9" s="13" t="str">
        <f t="shared" si="2"/>
        <v>Sem-49</v>
      </c>
      <c r="BK9" s="13" t="str">
        <f t="shared" si="2"/>
        <v>Sem-49</v>
      </c>
      <c r="BL9" s="13" t="str">
        <f t="shared" si="2"/>
        <v>Sem-50</v>
      </c>
      <c r="BM9" s="13" t="str">
        <f t="shared" si="2"/>
        <v>Sem-50</v>
      </c>
      <c r="BN9" s="13" t="str">
        <f t="shared" si="2"/>
        <v>Sem-50</v>
      </c>
      <c r="BO9" s="13" t="str">
        <f t="shared" si="2"/>
        <v>Sem-50</v>
      </c>
      <c r="BP9" s="13" t="str">
        <f t="shared" si="2"/>
        <v>Sem-50</v>
      </c>
      <c r="BQ9" s="13" t="str">
        <f t="shared" si="2"/>
        <v>Sem-51</v>
      </c>
      <c r="BR9" s="13" t="str">
        <f t="shared" si="2"/>
        <v>Sem-51</v>
      </c>
      <c r="BS9" s="13" t="str">
        <f t="shared" si="2"/>
        <v>Sem-51</v>
      </c>
      <c r="BT9" s="13" t="str">
        <f t="shared" si="2"/>
        <v>Sem-51</v>
      </c>
      <c r="BU9" s="13" t="str">
        <f t="shared" si="2"/>
        <v>Sem-51</v>
      </c>
      <c r="BV9" s="13" t="str">
        <f t="shared" si="2"/>
        <v>Sem-52</v>
      </c>
      <c r="BW9" s="13" t="str">
        <f t="shared" si="2"/>
        <v>Sem-52</v>
      </c>
      <c r="BX9" s="13" t="str">
        <f t="shared" si="2"/>
        <v>Sem-52</v>
      </c>
      <c r="BY9" s="13" t="str">
        <f t="shared" si="2"/>
        <v>Sem-00</v>
      </c>
      <c r="BZ9" s="13" t="str">
        <f t="shared" si="2"/>
        <v>Sem-00</v>
      </c>
      <c r="CA9" s="13" t="str">
        <f t="shared" si="2"/>
        <v>Sem-01</v>
      </c>
      <c r="CB9" s="13" t="str">
        <f t="shared" si="2"/>
        <v>Sem-01</v>
      </c>
      <c r="CC9" s="13" t="str">
        <f t="shared" si="2"/>
        <v>Sem-01</v>
      </c>
      <c r="CD9" s="13" t="str">
        <f t="shared" ref="CD9:CY9" si="3">"Sem"&amp;"-"&amp;(IF(WEEKNUM(CD10,2)&lt;=9,0,))&amp;WEEKNUM(CD10,2)-1</f>
        <v>Sem-01</v>
      </c>
      <c r="CE9" s="13" t="str">
        <f t="shared" si="3"/>
        <v>Sem-01</v>
      </c>
      <c r="CF9" s="13" t="str">
        <f t="shared" si="3"/>
        <v>Sem-02</v>
      </c>
      <c r="CG9" s="13" t="str">
        <f t="shared" si="3"/>
        <v>Sem-02</v>
      </c>
      <c r="CH9" s="13" t="str">
        <f t="shared" si="3"/>
        <v>Sem-02</v>
      </c>
      <c r="CI9" s="13" t="str">
        <f t="shared" si="3"/>
        <v>Sem-02</v>
      </c>
      <c r="CJ9" s="13" t="str">
        <f t="shared" si="3"/>
        <v>Sem-02</v>
      </c>
      <c r="CK9" s="13" t="str">
        <f t="shared" si="3"/>
        <v>Sem-03</v>
      </c>
      <c r="CL9" s="13" t="str">
        <f t="shared" si="3"/>
        <v>Sem-03</v>
      </c>
      <c r="CM9" s="13" t="str">
        <f t="shared" si="3"/>
        <v>Sem-03</v>
      </c>
      <c r="CN9" s="13" t="str">
        <f t="shared" si="3"/>
        <v>Sem-03</v>
      </c>
      <c r="CO9" s="13" t="str">
        <f t="shared" si="3"/>
        <v>Sem-03</v>
      </c>
      <c r="CP9" s="13" t="str">
        <f t="shared" si="3"/>
        <v>Sem-04</v>
      </c>
      <c r="CQ9" s="13" t="str">
        <f t="shared" si="3"/>
        <v>Sem-04</v>
      </c>
      <c r="CR9" s="13" t="str">
        <f t="shared" si="3"/>
        <v>Sem-04</v>
      </c>
      <c r="CS9" s="13" t="str">
        <f t="shared" si="3"/>
        <v>Sem-04</v>
      </c>
      <c r="CT9" s="13" t="str">
        <f t="shared" si="3"/>
        <v>Sem-04</v>
      </c>
      <c r="CU9" s="13" t="str">
        <f t="shared" si="3"/>
        <v>Sem-05</v>
      </c>
      <c r="CV9" s="13" t="str">
        <f t="shared" si="3"/>
        <v>Sem-05</v>
      </c>
      <c r="CW9" s="13" t="str">
        <f t="shared" si="3"/>
        <v>Sem-05</v>
      </c>
      <c r="CX9" s="13" t="str">
        <f t="shared" si="3"/>
        <v>Sem-05</v>
      </c>
      <c r="CY9" s="13" t="str">
        <f t="shared" si="3"/>
        <v>Sem-05</v>
      </c>
    </row>
    <row r="10" spans="1:103" ht="22.7" customHeight="1" x14ac:dyDescent="0.2">
      <c r="A10" s="10"/>
      <c r="B10" s="106"/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6">
        <f>E6</f>
        <v>45939</v>
      </c>
      <c r="R10" s="16">
        <f>WORKDAY(Q10,1)</f>
        <v>45940</v>
      </c>
      <c r="S10" s="16">
        <f t="shared" ref="S10:CD10" si="4">WORKDAY(R10,1)</f>
        <v>45943</v>
      </c>
      <c r="T10" s="16">
        <f t="shared" si="4"/>
        <v>45944</v>
      </c>
      <c r="U10" s="16">
        <f t="shared" si="4"/>
        <v>45945</v>
      </c>
      <c r="V10" s="16">
        <f t="shared" si="4"/>
        <v>45946</v>
      </c>
      <c r="W10" s="16">
        <f t="shared" si="4"/>
        <v>45947</v>
      </c>
      <c r="X10" s="16">
        <f>WORKDAY(W10,1)</f>
        <v>45950</v>
      </c>
      <c r="Y10" s="16">
        <f t="shared" si="4"/>
        <v>45951</v>
      </c>
      <c r="Z10" s="16">
        <f t="shared" si="4"/>
        <v>45952</v>
      </c>
      <c r="AA10" s="16">
        <f t="shared" si="4"/>
        <v>45953</v>
      </c>
      <c r="AB10" s="16">
        <f t="shared" si="4"/>
        <v>45954</v>
      </c>
      <c r="AC10" s="16">
        <f t="shared" si="4"/>
        <v>45957</v>
      </c>
      <c r="AD10" s="16">
        <f t="shared" si="4"/>
        <v>45958</v>
      </c>
      <c r="AE10" s="16">
        <f t="shared" si="4"/>
        <v>45959</v>
      </c>
      <c r="AF10" s="16">
        <f t="shared" si="4"/>
        <v>45960</v>
      </c>
      <c r="AG10" s="16">
        <f t="shared" si="4"/>
        <v>45961</v>
      </c>
      <c r="AH10" s="16">
        <f t="shared" si="4"/>
        <v>45964</v>
      </c>
      <c r="AI10" s="16">
        <f t="shared" si="4"/>
        <v>45965</v>
      </c>
      <c r="AJ10" s="16">
        <f t="shared" si="4"/>
        <v>45966</v>
      </c>
      <c r="AK10" s="16">
        <f t="shared" si="4"/>
        <v>45967</v>
      </c>
      <c r="AL10" s="16">
        <f t="shared" si="4"/>
        <v>45968</v>
      </c>
      <c r="AM10" s="16">
        <f t="shared" si="4"/>
        <v>45971</v>
      </c>
      <c r="AN10" s="16">
        <f t="shared" si="4"/>
        <v>45972</v>
      </c>
      <c r="AO10" s="16">
        <f t="shared" si="4"/>
        <v>45973</v>
      </c>
      <c r="AP10" s="16">
        <f t="shared" si="4"/>
        <v>45974</v>
      </c>
      <c r="AQ10" s="16">
        <f t="shared" si="4"/>
        <v>45975</v>
      </c>
      <c r="AR10" s="16">
        <f t="shared" si="4"/>
        <v>45978</v>
      </c>
      <c r="AS10" s="16">
        <f t="shared" si="4"/>
        <v>45979</v>
      </c>
      <c r="AT10" s="16">
        <f t="shared" si="4"/>
        <v>45980</v>
      </c>
      <c r="AU10" s="16">
        <f t="shared" si="4"/>
        <v>45981</v>
      </c>
      <c r="AV10" s="16">
        <f t="shared" si="4"/>
        <v>45982</v>
      </c>
      <c r="AW10" s="16">
        <f t="shared" si="4"/>
        <v>45985</v>
      </c>
      <c r="AX10" s="16">
        <f t="shared" si="4"/>
        <v>45986</v>
      </c>
      <c r="AY10" s="16">
        <f t="shared" si="4"/>
        <v>45987</v>
      </c>
      <c r="AZ10" s="16">
        <f t="shared" si="4"/>
        <v>45988</v>
      </c>
      <c r="BA10" s="16">
        <f t="shared" si="4"/>
        <v>45989</v>
      </c>
      <c r="BB10" s="16">
        <f t="shared" si="4"/>
        <v>45992</v>
      </c>
      <c r="BC10" s="16">
        <f t="shared" si="4"/>
        <v>45993</v>
      </c>
      <c r="BD10" s="16">
        <f t="shared" si="4"/>
        <v>45994</v>
      </c>
      <c r="BE10" s="16">
        <f t="shared" si="4"/>
        <v>45995</v>
      </c>
      <c r="BF10" s="16">
        <f t="shared" si="4"/>
        <v>45996</v>
      </c>
      <c r="BG10" s="16">
        <f t="shared" si="4"/>
        <v>45999</v>
      </c>
      <c r="BH10" s="16">
        <f t="shared" si="4"/>
        <v>46000</v>
      </c>
      <c r="BI10" s="16">
        <f t="shared" si="4"/>
        <v>46001</v>
      </c>
      <c r="BJ10" s="16">
        <f t="shared" si="4"/>
        <v>46002</v>
      </c>
      <c r="BK10" s="16">
        <f t="shared" si="4"/>
        <v>46003</v>
      </c>
      <c r="BL10" s="16">
        <f t="shared" si="4"/>
        <v>46006</v>
      </c>
      <c r="BM10" s="16">
        <f t="shared" si="4"/>
        <v>46007</v>
      </c>
      <c r="BN10" s="16">
        <f t="shared" si="4"/>
        <v>46008</v>
      </c>
      <c r="BO10" s="16">
        <f t="shared" si="4"/>
        <v>46009</v>
      </c>
      <c r="BP10" s="16">
        <f t="shared" si="4"/>
        <v>46010</v>
      </c>
      <c r="BQ10" s="16">
        <f t="shared" si="4"/>
        <v>46013</v>
      </c>
      <c r="BR10" s="16">
        <f t="shared" si="4"/>
        <v>46014</v>
      </c>
      <c r="BS10" s="16">
        <f t="shared" si="4"/>
        <v>46015</v>
      </c>
      <c r="BT10" s="16">
        <f t="shared" si="4"/>
        <v>46016</v>
      </c>
      <c r="BU10" s="16">
        <f t="shared" si="4"/>
        <v>46017</v>
      </c>
      <c r="BV10" s="16">
        <f t="shared" si="4"/>
        <v>46020</v>
      </c>
      <c r="BW10" s="16">
        <f t="shared" si="4"/>
        <v>46021</v>
      </c>
      <c r="BX10" s="16">
        <f t="shared" si="4"/>
        <v>46022</v>
      </c>
      <c r="BY10" s="16">
        <f t="shared" si="4"/>
        <v>46023</v>
      </c>
      <c r="BZ10" s="16">
        <f t="shared" si="4"/>
        <v>46024</v>
      </c>
      <c r="CA10" s="16">
        <f t="shared" si="4"/>
        <v>46027</v>
      </c>
      <c r="CB10" s="16">
        <f t="shared" si="4"/>
        <v>46028</v>
      </c>
      <c r="CC10" s="16">
        <f t="shared" si="4"/>
        <v>46029</v>
      </c>
      <c r="CD10" s="16">
        <f t="shared" si="4"/>
        <v>46030</v>
      </c>
      <c r="CE10" s="16">
        <f t="shared" ref="CE10:CY10" si="5">WORKDAY(CD10,1)</f>
        <v>46031</v>
      </c>
      <c r="CF10" s="16">
        <f t="shared" si="5"/>
        <v>46034</v>
      </c>
      <c r="CG10" s="16">
        <f t="shared" si="5"/>
        <v>46035</v>
      </c>
      <c r="CH10" s="16">
        <f t="shared" si="5"/>
        <v>46036</v>
      </c>
      <c r="CI10" s="16">
        <f t="shared" si="5"/>
        <v>46037</v>
      </c>
      <c r="CJ10" s="16">
        <f t="shared" si="5"/>
        <v>46038</v>
      </c>
      <c r="CK10" s="16">
        <f t="shared" si="5"/>
        <v>46041</v>
      </c>
      <c r="CL10" s="16">
        <f t="shared" si="5"/>
        <v>46042</v>
      </c>
      <c r="CM10" s="16">
        <f t="shared" si="5"/>
        <v>46043</v>
      </c>
      <c r="CN10" s="16">
        <f t="shared" si="5"/>
        <v>46044</v>
      </c>
      <c r="CO10" s="16">
        <f t="shared" si="5"/>
        <v>46045</v>
      </c>
      <c r="CP10" s="16">
        <f t="shared" si="5"/>
        <v>46048</v>
      </c>
      <c r="CQ10" s="16">
        <f t="shared" si="5"/>
        <v>46049</v>
      </c>
      <c r="CR10" s="16">
        <f t="shared" si="5"/>
        <v>46050</v>
      </c>
      <c r="CS10" s="16">
        <f t="shared" si="5"/>
        <v>46051</v>
      </c>
      <c r="CT10" s="16">
        <f t="shared" si="5"/>
        <v>46052</v>
      </c>
      <c r="CU10" s="16">
        <f t="shared" si="5"/>
        <v>46055</v>
      </c>
      <c r="CV10" s="16">
        <f t="shared" si="5"/>
        <v>46056</v>
      </c>
      <c r="CW10" s="16">
        <f t="shared" si="5"/>
        <v>46057</v>
      </c>
      <c r="CX10" s="16">
        <f t="shared" si="5"/>
        <v>46058</v>
      </c>
      <c r="CY10" s="16">
        <f t="shared" si="5"/>
        <v>46059</v>
      </c>
    </row>
    <row r="11" spans="1:103" s="41" customFormat="1" ht="21" customHeight="1" x14ac:dyDescent="0.2">
      <c r="A11" s="29" t="s">
        <v>1</v>
      </c>
      <c r="B11" s="30"/>
      <c r="C11" s="31"/>
      <c r="D11" s="32" t="s">
        <v>4</v>
      </c>
      <c r="E11" s="32"/>
      <c r="F11" s="32"/>
      <c r="G11" s="32"/>
      <c r="H11" s="32"/>
      <c r="I11" s="32"/>
      <c r="J11" s="32"/>
      <c r="K11" s="32"/>
      <c r="L11" s="33" t="str">
        <f>IF(MIN(L12:L29)&gt;0,MIN(L12:L29),"")</f>
        <v/>
      </c>
      <c r="M11" s="33" t="str">
        <f>IF(MAX(M12:M29)&gt;0,MAX(M12:M29),"")</f>
        <v/>
      </c>
      <c r="N11" s="34" t="e">
        <f t="shared" ref="N11:N29" si="6">IF(OR(L11=0,M11=0),"",NETWORKDAYS(L11,M11))</f>
        <v>#VALUE!</v>
      </c>
      <c r="O11" s="43" t="e">
        <f>AVERAGE(O16,#REF!,O22,O26)</f>
        <v>#REF!</v>
      </c>
      <c r="P11" s="35"/>
      <c r="Q11" s="36"/>
      <c r="R11" s="37"/>
      <c r="S11" s="38"/>
      <c r="T11" s="38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9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</row>
    <row r="12" spans="1:103" s="28" customFormat="1" ht="21" customHeight="1" x14ac:dyDescent="0.2">
      <c r="A12" s="89"/>
      <c r="B12" s="90">
        <v>1</v>
      </c>
      <c r="C12" s="116" t="s">
        <v>50</v>
      </c>
      <c r="D12" s="116"/>
      <c r="E12" s="91"/>
      <c r="F12" s="91"/>
      <c r="G12" s="91"/>
      <c r="H12" s="91"/>
      <c r="I12" s="91"/>
      <c r="J12" s="91"/>
      <c r="K12" s="91"/>
      <c r="L12" s="92" t="str">
        <f>IF(MIN(L13:L15)&gt;0,MIN(L13:L15),"")</f>
        <v/>
      </c>
      <c r="M12" s="92" t="str">
        <f>IF(MAX(M13:M15)&gt;0,MAX(M13:M15),"")</f>
        <v/>
      </c>
      <c r="N12" s="93" t="e">
        <f>IF(OR(L12=0,M12=0),"",NETWORKDAYS(L12,M12))</f>
        <v>#VALUE!</v>
      </c>
      <c r="O12" s="94">
        <f>AVERAGE(O13:O15)</f>
        <v>0</v>
      </c>
      <c r="P12" s="95"/>
      <c r="Q12" s="23"/>
      <c r="R12" s="24"/>
      <c r="S12" s="25"/>
      <c r="T12" s="25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6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</row>
    <row r="13" spans="1:103" ht="17.25" customHeight="1" outlineLevel="1" x14ac:dyDescent="0.2">
      <c r="A13" s="81"/>
      <c r="B13" s="71" t="s">
        <v>26</v>
      </c>
      <c r="C13" s="112" t="s">
        <v>53</v>
      </c>
      <c r="D13" s="113"/>
      <c r="E13" s="68" t="s">
        <v>56</v>
      </c>
      <c r="F13" s="69" t="s">
        <v>58</v>
      </c>
      <c r="G13" s="65" t="s">
        <v>44</v>
      </c>
      <c r="H13" s="82" t="s">
        <v>44</v>
      </c>
      <c r="I13" s="66"/>
      <c r="J13" s="83"/>
      <c r="K13" s="86"/>
      <c r="L13" s="73"/>
      <c r="M13" s="73"/>
      <c r="N13" s="46"/>
      <c r="O13" s="87">
        <v>0</v>
      </c>
      <c r="P13" s="88" t="s">
        <v>40</v>
      </c>
      <c r="Q13" s="18"/>
      <c r="R13" s="19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1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  <c r="BK13" s="17"/>
      <c r="BL13" s="17"/>
      <c r="BM13" s="17"/>
      <c r="BN13" s="17"/>
      <c r="BO13" s="17"/>
      <c r="BP13" s="17"/>
      <c r="BQ13" s="17"/>
      <c r="BR13" s="17"/>
      <c r="BS13" s="17"/>
      <c r="BT13" s="17"/>
      <c r="BU13" s="17"/>
      <c r="BV13" s="17"/>
      <c r="BW13" s="17"/>
      <c r="BX13" s="17"/>
      <c r="BY13" s="17"/>
      <c r="BZ13" s="17"/>
      <c r="CA13" s="17"/>
      <c r="CB13" s="17"/>
      <c r="CC13" s="17"/>
      <c r="CD13" s="17"/>
      <c r="CE13" s="17"/>
      <c r="CF13" s="17"/>
      <c r="CG13" s="17"/>
      <c r="CH13" s="17"/>
      <c r="CI13" s="17"/>
      <c r="CJ13" s="17"/>
      <c r="CK13" s="17"/>
      <c r="CL13" s="17"/>
      <c r="CM13" s="17"/>
      <c r="CN13" s="17"/>
      <c r="CO13" s="17"/>
      <c r="CP13" s="17"/>
      <c r="CQ13" s="17"/>
      <c r="CR13" s="17"/>
      <c r="CS13" s="17"/>
      <c r="CT13" s="17"/>
      <c r="CU13" s="17"/>
      <c r="CV13" s="17"/>
      <c r="CW13" s="17"/>
      <c r="CX13" s="17"/>
      <c r="CY13" s="17"/>
    </row>
    <row r="14" spans="1:103" ht="17.25" customHeight="1" outlineLevel="1" x14ac:dyDescent="0.2">
      <c r="A14" s="81"/>
      <c r="B14" s="71" t="s">
        <v>27</v>
      </c>
      <c r="C14" s="114" t="s">
        <v>54</v>
      </c>
      <c r="D14" s="115"/>
      <c r="E14" s="68" t="s">
        <v>56</v>
      </c>
      <c r="F14" s="69" t="s">
        <v>57</v>
      </c>
      <c r="G14" s="65" t="s">
        <v>44</v>
      </c>
      <c r="H14" s="82" t="s">
        <v>44</v>
      </c>
      <c r="I14" s="66"/>
      <c r="J14" s="83"/>
      <c r="K14" s="86"/>
      <c r="L14" s="73"/>
      <c r="M14" s="73"/>
      <c r="N14" s="46"/>
      <c r="O14" s="87">
        <v>0</v>
      </c>
      <c r="P14" s="88" t="s">
        <v>40</v>
      </c>
      <c r="Q14" s="18"/>
      <c r="R14" s="19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1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  <c r="BK14" s="17"/>
      <c r="BL14" s="17"/>
      <c r="BM14" s="17"/>
      <c r="BN14" s="17"/>
      <c r="BO14" s="17"/>
      <c r="BP14" s="17"/>
      <c r="BQ14" s="17"/>
      <c r="BR14" s="17"/>
      <c r="BS14" s="17"/>
      <c r="BT14" s="17"/>
      <c r="BU14" s="17"/>
      <c r="BV14" s="17"/>
      <c r="BW14" s="17"/>
      <c r="BX14" s="17"/>
      <c r="BY14" s="17"/>
      <c r="BZ14" s="17"/>
      <c r="CA14" s="17"/>
      <c r="CB14" s="17"/>
      <c r="CC14" s="17"/>
      <c r="CD14" s="17"/>
      <c r="CE14" s="17"/>
      <c r="CF14" s="17"/>
      <c r="CG14" s="17"/>
      <c r="CH14" s="17"/>
      <c r="CI14" s="17"/>
      <c r="CJ14" s="17"/>
      <c r="CK14" s="17"/>
      <c r="CL14" s="17"/>
      <c r="CM14" s="17"/>
      <c r="CN14" s="17"/>
      <c r="CO14" s="17"/>
      <c r="CP14" s="17"/>
      <c r="CQ14" s="17"/>
      <c r="CR14" s="17"/>
      <c r="CS14" s="17"/>
      <c r="CT14" s="17"/>
      <c r="CU14" s="17"/>
      <c r="CV14" s="17"/>
      <c r="CW14" s="17"/>
      <c r="CX14" s="17"/>
      <c r="CY14" s="17"/>
    </row>
    <row r="15" spans="1:103" ht="17.25" customHeight="1" outlineLevel="1" x14ac:dyDescent="0.2">
      <c r="A15" s="81"/>
      <c r="B15" s="71" t="s">
        <v>24</v>
      </c>
      <c r="C15" s="114" t="s">
        <v>55</v>
      </c>
      <c r="D15" s="115"/>
      <c r="E15" s="68" t="s">
        <v>56</v>
      </c>
      <c r="F15" s="69" t="s">
        <v>59</v>
      </c>
      <c r="G15" s="65" t="s">
        <v>44</v>
      </c>
      <c r="H15" s="82" t="s">
        <v>44</v>
      </c>
      <c r="I15" s="66"/>
      <c r="J15" s="83"/>
      <c r="K15" s="86"/>
      <c r="L15" s="73"/>
      <c r="M15" s="73"/>
      <c r="N15" s="46"/>
      <c r="O15" s="87">
        <v>0</v>
      </c>
      <c r="P15" s="88" t="s">
        <v>40</v>
      </c>
      <c r="Q15" s="18"/>
      <c r="R15" s="19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1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  <c r="BK15" s="17"/>
      <c r="BL15" s="17"/>
      <c r="BM15" s="17"/>
      <c r="BN15" s="17"/>
      <c r="BO15" s="17"/>
      <c r="BP15" s="17"/>
      <c r="BQ15" s="17"/>
      <c r="BR15" s="17"/>
      <c r="BS15" s="17"/>
      <c r="BT15" s="17"/>
      <c r="BU15" s="17"/>
      <c r="BV15" s="17"/>
      <c r="BW15" s="17"/>
      <c r="BX15" s="17"/>
      <c r="BY15" s="17"/>
      <c r="BZ15" s="17"/>
      <c r="CA15" s="17"/>
      <c r="CB15" s="17"/>
      <c r="CC15" s="17"/>
      <c r="CD15" s="17"/>
      <c r="CE15" s="17"/>
      <c r="CF15" s="17"/>
      <c r="CG15" s="17"/>
      <c r="CH15" s="17"/>
      <c r="CI15" s="17"/>
      <c r="CJ15" s="17"/>
      <c r="CK15" s="17"/>
      <c r="CL15" s="17"/>
      <c r="CM15" s="17"/>
      <c r="CN15" s="17"/>
      <c r="CO15" s="17"/>
      <c r="CP15" s="17"/>
      <c r="CQ15" s="17"/>
      <c r="CR15" s="17"/>
      <c r="CS15" s="17"/>
      <c r="CT15" s="17"/>
      <c r="CU15" s="17"/>
      <c r="CV15" s="17"/>
      <c r="CW15" s="17"/>
      <c r="CX15" s="17"/>
      <c r="CY15" s="17"/>
    </row>
    <row r="16" spans="1:103" s="28" customFormat="1" ht="21" customHeight="1" x14ac:dyDescent="0.2">
      <c r="A16" s="48"/>
      <c r="B16" s="74">
        <v>2</v>
      </c>
      <c r="C16" s="117" t="s">
        <v>51</v>
      </c>
      <c r="D16" s="117"/>
      <c r="E16" s="76"/>
      <c r="F16" s="76"/>
      <c r="G16" s="76"/>
      <c r="H16" s="76"/>
      <c r="I16" s="77"/>
      <c r="J16" s="76"/>
      <c r="K16" s="77"/>
      <c r="L16" s="78" t="str">
        <f>IF(MIN(L17:L21)&gt;0,MIN(L17:L21),"")</f>
        <v/>
      </c>
      <c r="M16" s="78" t="str">
        <f>IF(MAX(M17:M21)&gt;0,MAX(M17:M21),"")</f>
        <v/>
      </c>
      <c r="N16" s="79" t="e">
        <f>IF(OR(L16=0,M16=0),"",NETWORKDAYS(L16,M16))</f>
        <v>#VALUE!</v>
      </c>
      <c r="O16" s="80">
        <f>AVERAGE(O17:O21)</f>
        <v>0</v>
      </c>
      <c r="P16" s="49"/>
      <c r="Q16" s="23"/>
      <c r="R16" s="24"/>
      <c r="S16" s="25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6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</row>
    <row r="17" spans="1:103" ht="17.25" customHeight="1" outlineLevel="1" x14ac:dyDescent="0.2">
      <c r="A17" s="81" t="s">
        <v>17</v>
      </c>
      <c r="B17" s="71" t="s">
        <v>28</v>
      </c>
      <c r="C17" s="118" t="s">
        <v>60</v>
      </c>
      <c r="D17" s="119"/>
      <c r="E17" s="68" t="s">
        <v>59</v>
      </c>
      <c r="F17" s="69" t="s">
        <v>58</v>
      </c>
      <c r="G17" s="65" t="s">
        <v>44</v>
      </c>
      <c r="H17" s="82" t="s">
        <v>44</v>
      </c>
      <c r="I17" s="66"/>
      <c r="J17" s="83"/>
      <c r="K17" s="86"/>
      <c r="L17" s="73"/>
      <c r="M17" s="73"/>
      <c r="N17" s="46" t="str">
        <f t="shared" si="6"/>
        <v/>
      </c>
      <c r="O17" s="87">
        <v>0</v>
      </c>
      <c r="P17" s="88" t="s">
        <v>40</v>
      </c>
      <c r="Q17" s="70"/>
      <c r="R17" s="19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1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7"/>
      <c r="BV17" s="17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17"/>
      <c r="CJ17" s="17"/>
      <c r="CK17" s="17"/>
      <c r="CL17" s="17"/>
      <c r="CM17" s="17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</row>
    <row r="18" spans="1:103" ht="17.25" customHeight="1" outlineLevel="1" x14ac:dyDescent="0.2">
      <c r="A18" s="10" t="s">
        <v>17</v>
      </c>
      <c r="B18" s="71" t="s">
        <v>29</v>
      </c>
      <c r="C18" s="118" t="s">
        <v>63</v>
      </c>
      <c r="D18" s="119"/>
      <c r="E18" s="68" t="s">
        <v>58</v>
      </c>
      <c r="F18" s="69" t="s">
        <v>59</v>
      </c>
      <c r="G18" s="65" t="s">
        <v>44</v>
      </c>
      <c r="H18" s="82" t="s">
        <v>44</v>
      </c>
      <c r="I18" s="66"/>
      <c r="J18" s="84"/>
      <c r="K18" s="84"/>
      <c r="L18" s="73"/>
      <c r="M18" s="73"/>
      <c r="N18" s="46" t="str">
        <f t="shared" si="6"/>
        <v/>
      </c>
      <c r="O18" s="87">
        <v>0</v>
      </c>
      <c r="P18" s="88" t="s">
        <v>40</v>
      </c>
      <c r="Q18" s="70"/>
      <c r="R18" s="19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1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7"/>
      <c r="BV18" s="17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7"/>
      <c r="CK18" s="17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</row>
    <row r="19" spans="1:103" ht="17.25" customHeight="1" outlineLevel="1" x14ac:dyDescent="0.2">
      <c r="A19" s="10" t="s">
        <v>17</v>
      </c>
      <c r="B19" s="71" t="s">
        <v>30</v>
      </c>
      <c r="C19" s="118" t="s">
        <v>61</v>
      </c>
      <c r="D19" s="119"/>
      <c r="E19" s="68" t="s">
        <v>59</v>
      </c>
      <c r="F19" s="69" t="s">
        <v>58</v>
      </c>
      <c r="G19" s="65" t="s">
        <v>44</v>
      </c>
      <c r="H19" s="82" t="s">
        <v>44</v>
      </c>
      <c r="I19" s="66"/>
      <c r="J19" s="83"/>
      <c r="K19" s="86"/>
      <c r="L19" s="73"/>
      <c r="M19" s="73"/>
      <c r="N19" s="46" t="str">
        <f t="shared" si="6"/>
        <v/>
      </c>
      <c r="O19" s="87">
        <v>0</v>
      </c>
      <c r="P19" s="88" t="s">
        <v>40</v>
      </c>
      <c r="Q19" s="70"/>
      <c r="R19" s="19"/>
      <c r="S19" s="20"/>
      <c r="T19" s="20"/>
      <c r="U19" s="20"/>
      <c r="V19" s="20"/>
      <c r="W19" s="20"/>
      <c r="X19" s="17"/>
      <c r="Y19" s="20"/>
      <c r="Z19" s="20"/>
      <c r="AA19" s="20"/>
      <c r="AB19" s="20"/>
      <c r="AC19" s="20"/>
      <c r="AD19" s="20"/>
      <c r="AE19" s="20"/>
      <c r="AF19" s="20"/>
      <c r="AG19" s="21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</row>
    <row r="20" spans="1:103" ht="17.25" customHeight="1" outlineLevel="1" x14ac:dyDescent="0.2">
      <c r="A20" s="10" t="s">
        <v>17</v>
      </c>
      <c r="B20" s="71" t="s">
        <v>31</v>
      </c>
      <c r="C20" s="118" t="s">
        <v>64</v>
      </c>
      <c r="D20" s="119"/>
      <c r="E20" s="68" t="s">
        <v>58</v>
      </c>
      <c r="F20" s="69" t="s">
        <v>59</v>
      </c>
      <c r="G20" s="65" t="s">
        <v>44</v>
      </c>
      <c r="H20" s="82" t="s">
        <v>44</v>
      </c>
      <c r="I20" s="66"/>
      <c r="J20" s="83"/>
      <c r="K20" s="85"/>
      <c r="L20" s="73"/>
      <c r="M20" s="73"/>
      <c r="N20" s="46" t="str">
        <f t="shared" si="6"/>
        <v/>
      </c>
      <c r="O20" s="87">
        <v>0</v>
      </c>
      <c r="P20" s="88" t="s">
        <v>40</v>
      </c>
      <c r="Q20" s="70"/>
      <c r="R20" s="19"/>
      <c r="S20" s="20"/>
      <c r="T20" s="20"/>
      <c r="U20" s="20"/>
      <c r="V20" s="20"/>
      <c r="W20" s="20"/>
      <c r="X20" s="17"/>
      <c r="Y20" s="20"/>
      <c r="Z20" s="20"/>
      <c r="AA20" s="20"/>
      <c r="AB20" s="20"/>
      <c r="AC20" s="20"/>
      <c r="AD20" s="20"/>
      <c r="AE20" s="20"/>
      <c r="AF20" s="20"/>
      <c r="AG20" s="21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</row>
    <row r="21" spans="1:103" ht="17.25" customHeight="1" outlineLevel="1" x14ac:dyDescent="0.2">
      <c r="A21" s="10" t="s">
        <v>17</v>
      </c>
      <c r="B21" s="71" t="s">
        <v>32</v>
      </c>
      <c r="C21" s="118" t="s">
        <v>62</v>
      </c>
      <c r="D21" s="119"/>
      <c r="E21" s="68" t="s">
        <v>58</v>
      </c>
      <c r="F21" s="69" t="s">
        <v>57</v>
      </c>
      <c r="G21" s="65" t="s">
        <v>44</v>
      </c>
      <c r="H21" s="82" t="s">
        <v>44</v>
      </c>
      <c r="I21" s="66"/>
      <c r="J21" s="83"/>
      <c r="K21" s="86"/>
      <c r="L21" s="73"/>
      <c r="M21" s="73"/>
      <c r="N21" s="46" t="str">
        <f t="shared" si="6"/>
        <v/>
      </c>
      <c r="O21" s="87">
        <v>0</v>
      </c>
      <c r="P21" s="88" t="s">
        <v>40</v>
      </c>
      <c r="Q21" s="70"/>
      <c r="R21" s="19"/>
      <c r="S21" s="20"/>
      <c r="T21" s="20"/>
      <c r="U21" s="20"/>
      <c r="V21" s="20"/>
      <c r="W21" s="20"/>
      <c r="X21" s="17"/>
      <c r="Y21" s="20"/>
      <c r="Z21" s="20"/>
      <c r="AA21" s="20"/>
      <c r="AB21" s="20"/>
      <c r="AC21" s="20"/>
      <c r="AD21" s="20"/>
      <c r="AE21" s="20"/>
      <c r="AF21" s="20"/>
      <c r="AG21" s="21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</row>
    <row r="22" spans="1:103" ht="17.25" customHeight="1" outlineLevel="1" x14ac:dyDescent="0.2">
      <c r="A22" s="48"/>
      <c r="B22" s="50">
        <v>3</v>
      </c>
      <c r="C22" s="75" t="s">
        <v>2</v>
      </c>
      <c r="D22" s="51" t="s">
        <v>52</v>
      </c>
      <c r="E22" s="51"/>
      <c r="F22" s="51"/>
      <c r="G22" s="51"/>
      <c r="H22" s="51"/>
      <c r="I22" s="52"/>
      <c r="J22" s="51"/>
      <c r="K22" s="52"/>
      <c r="L22" s="78" t="str">
        <f>IF(MIN(L23:L25)&gt;0,MIN(L23:L25),"")</f>
        <v/>
      </c>
      <c r="M22" s="78" t="str">
        <f>IF(MAX(M23:M25)&gt;0,MAX(M23:M25),"")</f>
        <v/>
      </c>
      <c r="N22" s="79" t="e">
        <f>IF(OR(L22=0,M22=0),"",NETWORKDAYS(L22,M22))</f>
        <v>#VALUE!</v>
      </c>
      <c r="O22" s="80">
        <f>AVERAGE(O23)</f>
        <v>0</v>
      </c>
      <c r="P22" s="53"/>
      <c r="Q22" s="18"/>
      <c r="R22" s="19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1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</row>
    <row r="23" spans="1:103" ht="17.25" customHeight="1" outlineLevel="1" x14ac:dyDescent="0.2">
      <c r="A23" s="10"/>
      <c r="B23" s="71" t="s">
        <v>23</v>
      </c>
      <c r="C23" s="114" t="s">
        <v>65</v>
      </c>
      <c r="D23" s="115"/>
      <c r="E23" s="68" t="s">
        <v>57</v>
      </c>
      <c r="F23" s="69" t="s">
        <v>58</v>
      </c>
      <c r="G23" s="65" t="s">
        <v>44</v>
      </c>
      <c r="H23" s="82" t="s">
        <v>44</v>
      </c>
      <c r="I23" s="66"/>
      <c r="J23" s="84"/>
      <c r="K23" s="84"/>
      <c r="L23" s="73"/>
      <c r="M23" s="73"/>
      <c r="N23" s="46" t="str">
        <f t="shared" si="6"/>
        <v/>
      </c>
      <c r="O23" s="87">
        <v>0</v>
      </c>
      <c r="P23" s="88" t="s">
        <v>40</v>
      </c>
      <c r="Q23" s="70"/>
      <c r="R23" s="19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1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</row>
    <row r="24" spans="1:103" ht="17.25" customHeight="1" outlineLevel="1" x14ac:dyDescent="0.2">
      <c r="A24" s="10" t="s">
        <v>17</v>
      </c>
      <c r="B24" s="71" t="s">
        <v>41</v>
      </c>
      <c r="C24" s="114" t="s">
        <v>54</v>
      </c>
      <c r="D24" s="115"/>
      <c r="E24" s="68" t="s">
        <v>57</v>
      </c>
      <c r="F24" s="69" t="s">
        <v>56</v>
      </c>
      <c r="G24" s="65" t="s">
        <v>44</v>
      </c>
      <c r="H24" s="82" t="s">
        <v>44</v>
      </c>
      <c r="I24" s="66"/>
      <c r="J24" s="84"/>
      <c r="K24" s="84"/>
      <c r="L24" s="73"/>
      <c r="M24" s="73"/>
      <c r="N24" s="46" t="str">
        <f t="shared" si="6"/>
        <v/>
      </c>
      <c r="O24" s="87">
        <v>0</v>
      </c>
      <c r="P24" s="88" t="s">
        <v>40</v>
      </c>
      <c r="Q24" s="70"/>
      <c r="R24" s="19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1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</row>
    <row r="25" spans="1:103" ht="17.25" customHeight="1" outlineLevel="1" x14ac:dyDescent="0.2">
      <c r="A25" s="10" t="s">
        <v>17</v>
      </c>
      <c r="B25" s="71" t="s">
        <v>42</v>
      </c>
      <c r="C25" s="114" t="s">
        <v>66</v>
      </c>
      <c r="D25" s="115"/>
      <c r="E25" s="68" t="s">
        <v>57</v>
      </c>
      <c r="F25" s="69" t="s">
        <v>57</v>
      </c>
      <c r="G25" s="65" t="s">
        <v>44</v>
      </c>
      <c r="H25" s="82" t="s">
        <v>44</v>
      </c>
      <c r="I25" s="66"/>
      <c r="J25" s="84"/>
      <c r="K25" s="84"/>
      <c r="L25" s="73"/>
      <c r="M25" s="73"/>
      <c r="N25" s="46" t="str">
        <f t="shared" si="6"/>
        <v/>
      </c>
      <c r="O25" s="87">
        <v>0</v>
      </c>
      <c r="P25" s="88" t="s">
        <v>40</v>
      </c>
      <c r="Q25" s="70"/>
      <c r="R25" s="19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1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</row>
    <row r="26" spans="1:103" ht="17.25" customHeight="1" outlineLevel="1" x14ac:dyDescent="0.2">
      <c r="A26" s="63"/>
      <c r="B26" s="54" t="s">
        <v>39</v>
      </c>
      <c r="C26" s="59" t="s">
        <v>2</v>
      </c>
      <c r="D26" s="55" t="s">
        <v>45</v>
      </c>
      <c r="E26" s="55"/>
      <c r="F26" s="55"/>
      <c r="G26" s="55"/>
      <c r="H26" s="55"/>
      <c r="I26" s="56"/>
      <c r="J26" s="56"/>
      <c r="K26" s="60"/>
      <c r="L26" s="61"/>
      <c r="M26" s="61"/>
      <c r="N26" s="62" t="e">
        <v>#VALUE!</v>
      </c>
      <c r="O26" s="57">
        <f>AVERAGE(O27:O29)</f>
        <v>0</v>
      </c>
      <c r="P26" s="58"/>
      <c r="Q26" s="18"/>
      <c r="R26" s="19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1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7"/>
      <c r="CK26" s="17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</row>
    <row r="27" spans="1:103" ht="17.25" customHeight="1" outlineLevel="1" x14ac:dyDescent="0.2">
      <c r="A27" s="10" t="s">
        <v>17</v>
      </c>
      <c r="B27" s="71" t="s">
        <v>33</v>
      </c>
      <c r="C27" s="67" t="s">
        <v>1</v>
      </c>
      <c r="D27" s="64" t="s">
        <v>67</v>
      </c>
      <c r="E27" s="68" t="s">
        <v>56</v>
      </c>
      <c r="F27" s="69" t="s">
        <v>57</v>
      </c>
      <c r="G27" s="65" t="s">
        <v>44</v>
      </c>
      <c r="H27" s="82" t="s">
        <v>44</v>
      </c>
      <c r="I27" s="66"/>
      <c r="J27" s="83"/>
      <c r="K27" s="72"/>
      <c r="L27" s="73"/>
      <c r="M27" s="73"/>
      <c r="N27" s="46" t="str">
        <f t="shared" si="6"/>
        <v/>
      </c>
      <c r="O27" s="87">
        <v>0</v>
      </c>
      <c r="P27" s="88" t="s">
        <v>40</v>
      </c>
      <c r="Q27" s="70"/>
      <c r="R27" s="19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1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7"/>
      <c r="CK27" s="17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</row>
    <row r="28" spans="1:103" ht="17.25" customHeight="1" outlineLevel="1" x14ac:dyDescent="0.2">
      <c r="A28" s="10" t="s">
        <v>17</v>
      </c>
      <c r="B28" s="71" t="s">
        <v>34</v>
      </c>
      <c r="C28" s="67" t="s">
        <v>1</v>
      </c>
      <c r="D28" s="64" t="s">
        <v>68</v>
      </c>
      <c r="E28" s="68" t="s">
        <v>59</v>
      </c>
      <c r="F28" s="69" t="s">
        <v>56</v>
      </c>
      <c r="G28" s="65" t="s">
        <v>44</v>
      </c>
      <c r="H28" s="82" t="s">
        <v>44</v>
      </c>
      <c r="I28" s="66"/>
      <c r="J28" s="83"/>
      <c r="K28" s="72"/>
      <c r="L28" s="73"/>
      <c r="M28" s="73"/>
      <c r="N28" s="46" t="str">
        <f t="shared" si="6"/>
        <v/>
      </c>
      <c r="O28" s="87">
        <v>0</v>
      </c>
      <c r="P28" s="88" t="s">
        <v>40</v>
      </c>
      <c r="Q28" s="70"/>
      <c r="R28" s="19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1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7"/>
      <c r="CK28" s="17"/>
      <c r="CL28" s="17"/>
      <c r="CM28" s="17"/>
      <c r="CN28" s="17"/>
      <c r="CO28" s="17"/>
      <c r="CP28" s="17"/>
      <c r="CQ28" s="17"/>
      <c r="CR28" s="17"/>
      <c r="CS28" s="17"/>
      <c r="CT28" s="17"/>
      <c r="CU28" s="17"/>
      <c r="CV28" s="17"/>
      <c r="CW28" s="17"/>
      <c r="CX28" s="17"/>
      <c r="CY28" s="17"/>
    </row>
    <row r="29" spans="1:103" ht="17.25" customHeight="1" outlineLevel="1" x14ac:dyDescent="0.2">
      <c r="A29" s="10" t="s">
        <v>17</v>
      </c>
      <c r="B29" s="71" t="s">
        <v>35</v>
      </c>
      <c r="C29" s="67" t="s">
        <v>1</v>
      </c>
      <c r="D29" s="64" t="s">
        <v>69</v>
      </c>
      <c r="E29" s="68" t="s">
        <v>59</v>
      </c>
      <c r="F29" s="69" t="s">
        <v>56</v>
      </c>
      <c r="G29" s="65" t="s">
        <v>44</v>
      </c>
      <c r="H29" s="82" t="s">
        <v>44</v>
      </c>
      <c r="I29" s="66"/>
      <c r="J29" s="83"/>
      <c r="K29" s="72"/>
      <c r="L29" s="73"/>
      <c r="M29" s="73"/>
      <c r="N29" s="46" t="str">
        <f t="shared" si="6"/>
        <v/>
      </c>
      <c r="O29" s="87">
        <v>0</v>
      </c>
      <c r="P29" s="88" t="s">
        <v>40</v>
      </c>
      <c r="Q29" s="70"/>
      <c r="R29" s="19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1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</row>
    <row r="30" spans="1:103" ht="17.25" customHeight="1" outlineLevel="1" x14ac:dyDescent="0.2">
      <c r="A30" s="10"/>
      <c r="B30" s="121"/>
      <c r="C30" s="122"/>
      <c r="D30" s="123"/>
      <c r="E30"/>
      <c r="F30"/>
      <c r="G30"/>
      <c r="H30"/>
      <c r="I30"/>
      <c r="J30" s="124"/>
      <c r="K30" s="125"/>
      <c r="L30" s="126"/>
      <c r="M30" s="126"/>
      <c r="N30" s="127"/>
      <c r="O30" s="120"/>
      <c r="P30" s="128"/>
      <c r="Q30" s="129"/>
      <c r="R30" s="130"/>
      <c r="S30" s="131"/>
      <c r="T30" s="131"/>
      <c r="U30" s="131"/>
      <c r="V30" s="131"/>
      <c r="W30" s="131"/>
      <c r="X30" s="131"/>
      <c r="Y30" s="131"/>
      <c r="Z30" s="131"/>
      <c r="AA30" s="131"/>
      <c r="AB30" s="131"/>
      <c r="AC30" s="131"/>
      <c r="AD30" s="131"/>
      <c r="AE30" s="131"/>
      <c r="AF30" s="131"/>
      <c r="AG30" s="132"/>
      <c r="AH30" s="133"/>
      <c r="AI30" s="133"/>
      <c r="AJ30" s="133"/>
      <c r="AK30" s="133"/>
      <c r="AL30" s="133"/>
      <c r="AM30" s="133"/>
      <c r="AN30" s="133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133"/>
      <c r="BU30" s="133"/>
      <c r="BV30" s="133"/>
      <c r="BW30" s="133"/>
      <c r="BX30" s="133"/>
      <c r="BY30" s="133"/>
      <c r="BZ30" s="133"/>
      <c r="CA30" s="133"/>
      <c r="CB30" s="133"/>
      <c r="CC30" s="133"/>
      <c r="CD30" s="133"/>
      <c r="CE30" s="133"/>
      <c r="CF30" s="133"/>
      <c r="CG30" s="133"/>
      <c r="CH30" s="133"/>
      <c r="CI30" s="133"/>
      <c r="CJ30" s="133"/>
      <c r="CK30" s="133"/>
      <c r="CL30" s="133"/>
      <c r="CM30" s="133"/>
      <c r="CN30" s="133"/>
      <c r="CO30" s="133"/>
      <c r="CP30" s="133"/>
      <c r="CQ30" s="133"/>
      <c r="CR30" s="133"/>
      <c r="CS30" s="133"/>
      <c r="CT30" s="133"/>
      <c r="CU30" s="133"/>
      <c r="CV30" s="133"/>
      <c r="CW30" s="133"/>
      <c r="CX30" s="133"/>
      <c r="CY30" s="133"/>
    </row>
    <row r="31" spans="1:103" ht="15.75" customHeight="1" x14ac:dyDescent="0.2">
      <c r="O31" s="120"/>
      <c r="P31" s="14" t="s">
        <v>46</v>
      </c>
    </row>
    <row r="32" spans="1:103" ht="15.75" customHeight="1" x14ac:dyDescent="0.2">
      <c r="P32" s="88" t="s">
        <v>43</v>
      </c>
    </row>
    <row r="33" spans="16:16" ht="15.75" customHeight="1" x14ac:dyDescent="0.2">
      <c r="P33" s="88" t="s">
        <v>40</v>
      </c>
    </row>
  </sheetData>
  <autoFilter ref="B8:P29" xr:uid="{00000000-0009-0000-0000-000000000000}"/>
  <mergeCells count="45">
    <mergeCell ref="C20:D20"/>
    <mergeCell ref="C21:D21"/>
    <mergeCell ref="C23:D23"/>
    <mergeCell ref="C24:D24"/>
    <mergeCell ref="C25:D25"/>
    <mergeCell ref="C18:D18"/>
    <mergeCell ref="C12:D12"/>
    <mergeCell ref="C16:D16"/>
    <mergeCell ref="C17:D17"/>
    <mergeCell ref="C19:D19"/>
    <mergeCell ref="C13:D13"/>
    <mergeCell ref="C14:D14"/>
    <mergeCell ref="C15:D15"/>
    <mergeCell ref="R6:U6"/>
    <mergeCell ref="V6:W6"/>
    <mergeCell ref="B8:B10"/>
    <mergeCell ref="C8:C10"/>
    <mergeCell ref="D8:D10"/>
    <mergeCell ref="I8:I10"/>
    <mergeCell ref="L8:L10"/>
    <mergeCell ref="M8:M10"/>
    <mergeCell ref="N8:N10"/>
    <mergeCell ref="O8:O10"/>
    <mergeCell ref="P8:P10"/>
    <mergeCell ref="B6:D6"/>
    <mergeCell ref="E6:H6"/>
    <mergeCell ref="J8:J10"/>
    <mergeCell ref="K8:K10"/>
    <mergeCell ref="E8:E10"/>
    <mergeCell ref="F8:F10"/>
    <mergeCell ref="B4:D4"/>
    <mergeCell ref="E4:H4"/>
    <mergeCell ref="G8:G10"/>
    <mergeCell ref="H8:H10"/>
    <mergeCell ref="Q4:V4"/>
    <mergeCell ref="W4:AF4"/>
    <mergeCell ref="B5:D5"/>
    <mergeCell ref="Q5:W5"/>
    <mergeCell ref="B1:O1"/>
    <mergeCell ref="Q1:U1"/>
    <mergeCell ref="V1:AF1"/>
    <mergeCell ref="B3:D3"/>
    <mergeCell ref="E3:H3"/>
    <mergeCell ref="Q3:V3"/>
    <mergeCell ref="W3:AF3"/>
  </mergeCells>
  <phoneticPr fontId="22" type="noConversion"/>
  <conditionalFormatting sqref="O11:P12 O22:P22 O16:P16 O13:O15 O17:O25 O27:O31">
    <cfRule type="dataBar" priority="47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{CF7D1936-5B3E-409B-B725-2276ACE05CC8}</x14:id>
        </ext>
      </extLst>
    </cfRule>
  </conditionalFormatting>
  <conditionalFormatting sqref="P13:P14">
    <cfRule type="dataBar" priority="15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{9B43878A-79B1-4840-BBB4-FABA7F9CF916}</x14:id>
        </ext>
      </extLst>
    </cfRule>
  </conditionalFormatting>
  <conditionalFormatting sqref="P13:P15">
    <cfRule type="cellIs" dxfId="46" priority="143" operator="equal">
      <formula>"Terminée"</formula>
    </cfRule>
    <cfRule type="cellIs" dxfId="45" priority="144" operator="equal">
      <formula>"En cours"</formula>
    </cfRule>
    <cfRule type="cellIs" dxfId="44" priority="145" operator="equal">
      <formula>"Bloquée"</formula>
    </cfRule>
  </conditionalFormatting>
  <conditionalFormatting sqref="P14">
    <cfRule type="dataBar" priority="14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{9B5F1A73-F3F1-ED49-9E1B-2B349EB2B852}</x14:id>
        </ext>
      </extLst>
    </cfRule>
  </conditionalFormatting>
  <conditionalFormatting sqref="P13:P15">
    <cfRule type="dataBar" priority="18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{F31764DD-3659-F948-93C4-E62FBA5629E2}</x14:id>
        </ext>
      </extLst>
    </cfRule>
  </conditionalFormatting>
  <conditionalFormatting sqref="P23">
    <cfRule type="cellIs" dxfId="43" priority="243" operator="equal">
      <formula>"Terminée"</formula>
    </cfRule>
    <cfRule type="cellIs" dxfId="42" priority="244" operator="equal">
      <formula>"En cours"</formula>
    </cfRule>
    <cfRule type="cellIs" dxfId="41" priority="245" operator="equal">
      <formula>"Bloquée"</formula>
    </cfRule>
    <cfRule type="dataBar" priority="24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{67CDAA83-61FE-664C-B679-8854ACFFEF77}</x14:id>
        </ext>
      </extLst>
    </cfRule>
  </conditionalFormatting>
  <conditionalFormatting sqref="Q12:CY30">
    <cfRule type="expression" dxfId="40" priority="471">
      <formula>AND($O12&gt;5%, $L12&lt;=Q$10,ROUNDDOWN(NETWORKDAYS($L12,$M12)*$O12,0)+$L12&gt;=Q$10)</formula>
    </cfRule>
    <cfRule type="expression" dxfId="39" priority="472">
      <formula>AND(NOT(ISBLANK($L12)),$L12&lt;Q$10,M$12&gt;=Q$10)</formula>
    </cfRule>
  </conditionalFormatting>
  <conditionalFormatting sqref="P17">
    <cfRule type="cellIs" dxfId="38" priority="66" operator="equal">
      <formula>"Terminée"</formula>
    </cfRule>
    <cfRule type="cellIs" dxfId="37" priority="67" operator="equal">
      <formula>"En cours"</formula>
    </cfRule>
    <cfRule type="cellIs" dxfId="36" priority="68" operator="equal">
      <formula>"Bloquée"</formula>
    </cfRule>
  </conditionalFormatting>
  <conditionalFormatting sqref="P17">
    <cfRule type="dataBar" priority="69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{44A5924B-DBD8-4554-807D-F283215FCD18}</x14:id>
        </ext>
      </extLst>
    </cfRule>
  </conditionalFormatting>
  <conditionalFormatting sqref="P18">
    <cfRule type="cellIs" dxfId="35" priority="62" operator="equal">
      <formula>"Terminée"</formula>
    </cfRule>
    <cfRule type="cellIs" dxfId="34" priority="63" operator="equal">
      <formula>"En cours"</formula>
    </cfRule>
    <cfRule type="cellIs" dxfId="33" priority="64" operator="equal">
      <formula>"Bloquée"</formula>
    </cfRule>
  </conditionalFormatting>
  <conditionalFormatting sqref="P18">
    <cfRule type="dataBar" priority="6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{98F245B7-517E-4A59-94E5-5018EC214D37}</x14:id>
        </ext>
      </extLst>
    </cfRule>
  </conditionalFormatting>
  <conditionalFormatting sqref="P19">
    <cfRule type="cellIs" dxfId="32" priority="58" operator="equal">
      <formula>"Terminée"</formula>
    </cfRule>
    <cfRule type="cellIs" dxfId="31" priority="59" operator="equal">
      <formula>"En cours"</formula>
    </cfRule>
    <cfRule type="cellIs" dxfId="30" priority="60" operator="equal">
      <formula>"Bloquée"</formula>
    </cfRule>
  </conditionalFormatting>
  <conditionalFormatting sqref="P19">
    <cfRule type="dataBar" priority="6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{03C21D32-BD3C-4DE9-AC5E-72DA6C42BA24}</x14:id>
        </ext>
      </extLst>
    </cfRule>
  </conditionalFormatting>
  <conditionalFormatting sqref="P20">
    <cfRule type="cellIs" dxfId="29" priority="54" operator="equal">
      <formula>"Terminée"</formula>
    </cfRule>
    <cfRule type="cellIs" dxfId="28" priority="55" operator="equal">
      <formula>"En cours"</formula>
    </cfRule>
    <cfRule type="cellIs" dxfId="27" priority="56" operator="equal">
      <formula>"Bloquée"</formula>
    </cfRule>
  </conditionalFormatting>
  <conditionalFormatting sqref="P20">
    <cfRule type="dataBar" priority="5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{3FD0D043-3427-49E1-AAE3-8ACEF3B430F7}</x14:id>
        </ext>
      </extLst>
    </cfRule>
  </conditionalFormatting>
  <conditionalFormatting sqref="P21">
    <cfRule type="cellIs" dxfId="26" priority="50" operator="equal">
      <formula>"Terminée"</formula>
    </cfRule>
    <cfRule type="cellIs" dxfId="25" priority="51" operator="equal">
      <formula>"En cours"</formula>
    </cfRule>
    <cfRule type="cellIs" dxfId="24" priority="52" operator="equal">
      <formula>"Bloquée"</formula>
    </cfRule>
  </conditionalFormatting>
  <conditionalFormatting sqref="P21">
    <cfRule type="dataBar" priority="5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{C9864103-82FA-4F16-BDD3-3479A2C7F66E}</x14:id>
        </ext>
      </extLst>
    </cfRule>
  </conditionalFormatting>
  <conditionalFormatting sqref="P24">
    <cfRule type="cellIs" dxfId="23" priority="46" operator="equal">
      <formula>"Terminée"</formula>
    </cfRule>
    <cfRule type="cellIs" dxfId="22" priority="47" operator="equal">
      <formula>"En cours"</formula>
    </cfRule>
    <cfRule type="cellIs" dxfId="21" priority="48" operator="equal">
      <formula>"Bloquée"</formula>
    </cfRule>
  </conditionalFormatting>
  <conditionalFormatting sqref="P24">
    <cfRule type="dataBar" priority="49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{14A3DB43-FF82-4442-A7B7-A37882837EB0}</x14:id>
        </ext>
      </extLst>
    </cfRule>
  </conditionalFormatting>
  <conditionalFormatting sqref="P25">
    <cfRule type="cellIs" dxfId="20" priority="42" operator="equal">
      <formula>"Terminée"</formula>
    </cfRule>
    <cfRule type="cellIs" dxfId="19" priority="43" operator="equal">
      <formula>"En cours"</formula>
    </cfRule>
    <cfRule type="cellIs" dxfId="18" priority="44" operator="equal">
      <formula>"Bloquée"</formula>
    </cfRule>
  </conditionalFormatting>
  <conditionalFormatting sqref="P25">
    <cfRule type="dataBar" priority="4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{B3C02012-D916-4345-872E-379CC6A2E766}</x14:id>
        </ext>
      </extLst>
    </cfRule>
  </conditionalFormatting>
  <conditionalFormatting sqref="P32">
    <cfRule type="cellIs" dxfId="17" priority="34" operator="equal">
      <formula>"Terminée"</formula>
    </cfRule>
    <cfRule type="cellIs" dxfId="16" priority="35" operator="equal">
      <formula>"En cours"</formula>
    </cfRule>
    <cfRule type="cellIs" dxfId="15" priority="36" operator="equal">
      <formula>"Bloquée"</formula>
    </cfRule>
  </conditionalFormatting>
  <conditionalFormatting sqref="P32">
    <cfRule type="dataBar" priority="3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{8F41FC07-F6A4-4EC8-A192-696E2DD74F9E}</x14:id>
        </ext>
      </extLst>
    </cfRule>
    <cfRule type="dataBar" priority="3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{BF16B63B-805F-495E-ABFF-80D5DCF90E1F}</x14:id>
        </ext>
      </extLst>
    </cfRule>
  </conditionalFormatting>
  <conditionalFormatting sqref="P31">
    <cfRule type="cellIs" dxfId="14" priority="29" operator="equal">
      <formula>"Terminée"</formula>
    </cfRule>
    <cfRule type="cellIs" dxfId="13" priority="30" operator="equal">
      <formula>"En cours"</formula>
    </cfRule>
    <cfRule type="cellIs" dxfId="12" priority="31" operator="equal">
      <formula>"Bloquée"</formula>
    </cfRule>
  </conditionalFormatting>
  <conditionalFormatting sqref="P31">
    <cfRule type="dataBar" priority="3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{9F011E62-C4CF-45EA-8DE6-F5FE85C9E9C1}</x14:id>
        </ext>
      </extLst>
    </cfRule>
  </conditionalFormatting>
  <conditionalFormatting sqref="P33">
    <cfRule type="cellIs" dxfId="11" priority="25" operator="equal">
      <formula>"Terminée"</formula>
    </cfRule>
    <cfRule type="cellIs" dxfId="10" priority="26" operator="equal">
      <formula>"En cours"</formula>
    </cfRule>
    <cfRule type="cellIs" dxfId="9" priority="27" operator="equal">
      <formula>"Bloquée"</formula>
    </cfRule>
  </conditionalFormatting>
  <conditionalFormatting sqref="P33">
    <cfRule type="dataBar" priority="2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{1F026F83-2842-470C-83C1-5F988AE1542D}</x14:id>
        </ext>
      </extLst>
    </cfRule>
  </conditionalFormatting>
  <conditionalFormatting sqref="P29:P30">
    <cfRule type="cellIs" dxfId="8" priority="17" operator="equal">
      <formula>"Terminée"</formula>
    </cfRule>
    <cfRule type="cellIs" dxfId="7" priority="18" operator="equal">
      <formula>"En cours"</formula>
    </cfRule>
    <cfRule type="cellIs" dxfId="6" priority="19" operator="equal">
      <formula>"Bloquée"</formula>
    </cfRule>
  </conditionalFormatting>
  <conditionalFormatting sqref="P29:P30">
    <cfRule type="dataBar" priority="2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{B8DD9798-4D88-4A30-83F9-7A7C205FA70B}</x14:id>
        </ext>
      </extLst>
    </cfRule>
  </conditionalFormatting>
  <conditionalFormatting sqref="P28">
    <cfRule type="cellIs" dxfId="5" priority="13" operator="equal">
      <formula>"Terminée"</formula>
    </cfRule>
    <cfRule type="cellIs" dxfId="4" priority="14" operator="equal">
      <formula>"En cours"</formula>
    </cfRule>
    <cfRule type="cellIs" dxfId="3" priority="15" operator="equal">
      <formula>"Bloquée"</formula>
    </cfRule>
  </conditionalFormatting>
  <conditionalFormatting sqref="P28">
    <cfRule type="dataBar" priority="1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{EBB3AC23-A7AF-4A08-B1B7-80B7FA9D5E4E}</x14:id>
        </ext>
      </extLst>
    </cfRule>
  </conditionalFormatting>
  <conditionalFormatting sqref="P27">
    <cfRule type="cellIs" dxfId="2" priority="9" operator="equal">
      <formula>"Terminée"</formula>
    </cfRule>
    <cfRule type="cellIs" dxfId="1" priority="10" operator="equal">
      <formula>"En cours"</formula>
    </cfRule>
    <cfRule type="cellIs" dxfId="0" priority="11" operator="equal">
      <formula>"Bloquée"</formula>
    </cfRule>
  </conditionalFormatting>
  <conditionalFormatting sqref="P27">
    <cfRule type="dataBar" priority="1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{A6990FAC-A004-4636-AF6F-D35D55177627}</x14:id>
        </ext>
      </extLst>
    </cfRule>
  </conditionalFormatting>
  <dataValidations disablePrompts="1" count="1">
    <dataValidation type="list" allowBlank="1" showInputMessage="1" showErrorMessage="1" sqref="P27:P30 P31:P33 P13:P25" xr:uid="{00000000-0002-0000-0000-000000000000}">
      <formula1>#REF!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F7D1936-5B3E-409B-B725-2276ACE05CC8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O11:P12 O22:P22 O16:P16 O13:O15 O17:O25 O27:O31</xm:sqref>
        </x14:conditionalFormatting>
        <x14:conditionalFormatting xmlns:xm="http://schemas.microsoft.com/office/excel/2006/main">
          <x14:cfRule type="dataBar" id="{9B43878A-79B1-4840-BBB4-FABA7F9CF916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P13:P14</xm:sqref>
        </x14:conditionalFormatting>
        <x14:conditionalFormatting xmlns:xm="http://schemas.microsoft.com/office/excel/2006/main">
          <x14:cfRule type="dataBar" id="{9B5F1A73-F3F1-ED49-9E1B-2B349EB2B852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F31764DD-3659-F948-93C4-E62FBA5629E2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P13:P15</xm:sqref>
        </x14:conditionalFormatting>
        <x14:conditionalFormatting xmlns:xm="http://schemas.microsoft.com/office/excel/2006/main">
          <x14:cfRule type="dataBar" id="{67CDAA83-61FE-664C-B679-8854ACFFEF77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P23</xm:sqref>
        </x14:conditionalFormatting>
        <x14:conditionalFormatting xmlns:xm="http://schemas.microsoft.com/office/excel/2006/main">
          <x14:cfRule type="dataBar" id="{44A5924B-DBD8-4554-807D-F283215FCD18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P17</xm:sqref>
        </x14:conditionalFormatting>
        <x14:conditionalFormatting xmlns:xm="http://schemas.microsoft.com/office/excel/2006/main">
          <x14:cfRule type="dataBar" id="{98F245B7-517E-4A59-94E5-5018EC214D37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P18</xm:sqref>
        </x14:conditionalFormatting>
        <x14:conditionalFormatting xmlns:xm="http://schemas.microsoft.com/office/excel/2006/main">
          <x14:cfRule type="dataBar" id="{03C21D32-BD3C-4DE9-AC5E-72DA6C42BA24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P19</xm:sqref>
        </x14:conditionalFormatting>
        <x14:conditionalFormatting xmlns:xm="http://schemas.microsoft.com/office/excel/2006/main">
          <x14:cfRule type="dataBar" id="{3FD0D043-3427-49E1-AAE3-8ACEF3B430F7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P20</xm:sqref>
        </x14:conditionalFormatting>
        <x14:conditionalFormatting xmlns:xm="http://schemas.microsoft.com/office/excel/2006/main">
          <x14:cfRule type="dataBar" id="{C9864103-82FA-4F16-BDD3-3479A2C7F66E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P21</xm:sqref>
        </x14:conditionalFormatting>
        <x14:conditionalFormatting xmlns:xm="http://schemas.microsoft.com/office/excel/2006/main">
          <x14:cfRule type="dataBar" id="{14A3DB43-FF82-4442-A7B7-A37882837EB0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P24</xm:sqref>
        </x14:conditionalFormatting>
        <x14:conditionalFormatting xmlns:xm="http://schemas.microsoft.com/office/excel/2006/main">
          <x14:cfRule type="dataBar" id="{B3C02012-D916-4345-872E-379CC6A2E766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P25</xm:sqref>
        </x14:conditionalFormatting>
        <x14:conditionalFormatting xmlns:xm="http://schemas.microsoft.com/office/excel/2006/main">
          <x14:cfRule type="dataBar" id="{8F41FC07-F6A4-4EC8-A192-696E2DD74F9E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F16B63B-805F-495E-ABFF-80D5DCF90E1F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P32</xm:sqref>
        </x14:conditionalFormatting>
        <x14:conditionalFormatting xmlns:xm="http://schemas.microsoft.com/office/excel/2006/main">
          <x14:cfRule type="dataBar" id="{9F011E62-C4CF-45EA-8DE6-F5FE85C9E9C1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P31</xm:sqref>
        </x14:conditionalFormatting>
        <x14:conditionalFormatting xmlns:xm="http://schemas.microsoft.com/office/excel/2006/main">
          <x14:cfRule type="dataBar" id="{1F026F83-2842-470C-83C1-5F988AE1542D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P33</xm:sqref>
        </x14:conditionalFormatting>
        <x14:conditionalFormatting xmlns:xm="http://schemas.microsoft.com/office/excel/2006/main">
          <x14:cfRule type="dataBar" id="{B8DD9798-4D88-4A30-83F9-7A7C205FA70B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P29:P30</xm:sqref>
        </x14:conditionalFormatting>
        <x14:conditionalFormatting xmlns:xm="http://schemas.microsoft.com/office/excel/2006/main">
          <x14:cfRule type="dataBar" id="{EBB3AC23-A7AF-4A08-B1B7-80B7FA9D5E4E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P28</xm:sqref>
        </x14:conditionalFormatting>
        <x14:conditionalFormatting xmlns:xm="http://schemas.microsoft.com/office/excel/2006/main">
          <x14:cfRule type="dataBar" id="{A6990FAC-A004-4636-AF6F-D35D55177627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Avancement Projet</vt:lpstr>
      <vt:lpstr>'Avancement Projet'!_Toc181209280</vt:lpstr>
      <vt:lpstr>'Avancement Projet'!_Toc181209283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CAM</dc:creator>
  <cp:lastModifiedBy>Julien Gombert</cp:lastModifiedBy>
  <dcterms:created xsi:type="dcterms:W3CDTF">2022-10-12T21:12:16Z</dcterms:created>
  <dcterms:modified xsi:type="dcterms:W3CDTF">2025-10-09T19:48:36Z</dcterms:modified>
</cp:coreProperties>
</file>