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ncement Projet" sheetId="1" state="visible" r:id="rId2"/>
  </sheets>
  <definedNames>
    <definedName function="false" hidden="true" localSheetId="0" name="_xlnm._FilterDatabase" vbProcedure="false">'Avancement Projet'!$B$8:$P$32</definedName>
    <definedName function="false" hidden="false" name="DateDebutProjet" vbProcedure="false">#REF!</definedName>
    <definedName function="false" hidden="false" name="week" vbProcedure="false">#REF!</definedName>
    <definedName function="false" hidden="false" localSheetId="0" name="_Toc181209280" vbProcedure="false">'Avancement Projet'!$D$25</definedName>
    <definedName function="false" hidden="false" localSheetId="0" name="_Toc181209281" vbProcedure="false">'avancement projet'!#ref!</definedName>
    <definedName function="false" hidden="false" localSheetId="0" name="_Toc181209282" vbProcedure="false">'avancement projet'!#ref!</definedName>
    <definedName function="false" hidden="false" localSheetId="0" name="_Toc181209283" vbProcedure="false">'Avancement Projet'!$D$26</definedName>
    <definedName function="false" hidden="false" localSheetId="0" name="_Toc181209284" vbProcedure="false">'avancement projet'!#ref!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<sst xmlns="http://schemas.openxmlformats.org/spreadsheetml/2006/main" count="206" uniqueCount="75">
  <si>
    <t xml:space="preserve">Planification</t>
  </si>
  <si>
    <t xml:space="preserve">Titre du Projet</t>
  </si>
  <si>
    <t xml:space="preserve">SAE302</t>
  </si>
  <si>
    <t xml:space="preserve">Nom du Groupe</t>
  </si>
  <si>
    <t xml:space="preserve">Bowser Shell Team's</t>
  </si>
  <si>
    <t xml:space="preserve">Chef de Projet</t>
  </si>
  <si>
    <t xml:space="preserve">GOMBERT-Julien</t>
  </si>
  <si>
    <t xml:space="preserve">Date Mise à Jour</t>
  </si>
  <si>
    <t xml:space="preserve">Membres du Groupe</t>
  </si>
  <si>
    <t xml:space="preserve">Julien, Yoann, Titouan, Adrien</t>
  </si>
  <si>
    <t xml:space="preserve">Date Démarrage Projet (Semestre 2)</t>
  </si>
  <si>
    <t xml:space="preserve">Numéro</t>
  </si>
  <si>
    <t xml:space="preserve">Type</t>
  </si>
  <si>
    <t xml:space="preserve">Titre de la Tâche</t>
  </si>
  <si>
    <t xml:space="preserve">Responsable</t>
  </si>
  <si>
    <t xml:space="preserve">Approbateur</t>
  </si>
  <si>
    <t xml:space="preserve">Consulté</t>
  </si>
  <si>
    <t xml:space="preserve">Informé</t>
  </si>
  <si>
    <t xml:space="preserve">Validation</t>
  </si>
  <si>
    <t xml:space="preserve">Début Retard</t>
  </si>
  <si>
    <t xml:space="preserve">Fin Retard</t>
  </si>
  <si>
    <t xml:space="preserve">Date
Début</t>
  </si>
  <si>
    <t xml:space="preserve">Date
Limite</t>
  </si>
  <si>
    <t xml:space="preserve">Durée
(jour)</t>
  </si>
  <si>
    <t xml:space="preserve">Avancement
Tâche
(en %)</t>
  </si>
  <si>
    <t xml:space="preserve">Statut</t>
  </si>
  <si>
    <t xml:space="preserve">P</t>
  </si>
  <si>
    <t xml:space="preserve">Projet</t>
  </si>
  <si>
    <t xml:space="preserve">Application Java Scanner CVE</t>
  </si>
  <si>
    <t xml:space="preserve">T</t>
  </si>
  <si>
    <t xml:space="preserve">1.1</t>
  </si>
  <si>
    <t xml:space="preserve">Application CLI </t>
  </si>
  <si>
    <t xml:space="preserve">Julien</t>
  </si>
  <si>
    <t xml:space="preserve">Titouan</t>
  </si>
  <si>
    <t xml:space="preserve">Groupe</t>
  </si>
  <si>
    <t xml:space="preserve">Terminée</t>
  </si>
  <si>
    <t xml:space="preserve">1.2</t>
  </si>
  <si>
    <t xml:space="preserve">Gestion BdD</t>
  </si>
  <si>
    <t xml:space="preserve">Yoann</t>
  </si>
  <si>
    <t xml:space="preserve">1.3</t>
  </si>
  <si>
    <t xml:space="preserve">Design UML</t>
  </si>
  <si>
    <t xml:space="preserve">Adrien</t>
  </si>
  <si>
    <t xml:space="preserve">OK</t>
  </si>
  <si>
    <t xml:space="preserve">1.4</t>
  </si>
  <si>
    <t xml:space="preserve">Documentation / Guide</t>
  </si>
  <si>
    <t xml:space="preserve">Application Android</t>
  </si>
  <si>
    <t xml:space="preserve">2.1</t>
  </si>
  <si>
    <t xml:space="preserve">[GUI] Activité n °1</t>
  </si>
  <si>
    <t xml:space="preserve">en cours</t>
  </si>
  <si>
    <t xml:space="preserve">2.2</t>
  </si>
  <si>
    <t xml:space="preserve">[GUI] Activité n °2</t>
  </si>
  <si>
    <t xml:space="preserve">2.3</t>
  </si>
  <si>
    <t xml:space="preserve">[JAVA] Activité n °1</t>
  </si>
  <si>
    <t xml:space="preserve">2.4</t>
  </si>
  <si>
    <t xml:space="preserve">[JAVA] Activité n °2</t>
  </si>
  <si>
    <t xml:space="preserve">2.5</t>
  </si>
  <si>
    <t xml:space="preserve">Communication API</t>
  </si>
  <si>
    <t xml:space="preserve">Adrien, Titouan</t>
  </si>
  <si>
    <t xml:space="preserve">Non démarrée</t>
  </si>
  <si>
    <t xml:space="preserve">Communication FastAPI</t>
  </si>
  <si>
    <t xml:space="preserve">3.1</t>
  </si>
  <si>
    <t xml:space="preserve">Intégration API</t>
  </si>
  <si>
    <t xml:space="preserve">3.21</t>
  </si>
  <si>
    <t xml:space="preserve">3.22</t>
  </si>
  <si>
    <t xml:space="preserve">Serveur Python</t>
  </si>
  <si>
    <t xml:space="preserve">4.0</t>
  </si>
  <si>
    <t xml:space="preserve">Base de donnée</t>
  </si>
  <si>
    <t xml:space="preserve">4.1</t>
  </si>
  <si>
    <t xml:space="preserve">Installation / Configs SQLite</t>
  </si>
  <si>
    <t xml:space="preserve">4.2</t>
  </si>
  <si>
    <t xml:space="preserve">Schéma SQL</t>
  </si>
  <si>
    <t xml:space="preserve">4.3</t>
  </si>
  <si>
    <t xml:space="preserve">Intégration dans SQLite</t>
  </si>
  <si>
    <t xml:space="preserve">5.0</t>
  </si>
  <si>
    <t xml:space="preserve">Documents IA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</si>
</sst>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dd\/mm\/yy"/>
    <numFmt numFmtId="166" formatCode="dd/mm/yyyy"/>
    <numFmt numFmtId="167" formatCode="mmmm"/>
    <numFmt numFmtId="168" formatCode="General"/>
    <numFmt numFmtId="169" formatCode="dd"/>
    <numFmt numFmtId="170" formatCode="0.0"/>
    <numFmt numFmtId="171" formatCode="dd/mm/yy;@"/>
    <numFmt numFmtId="172" formatCode="0\ %"/>
    <numFmt numFmtId="173" formatCode="\$#,##0.00"/>
    <numFmt numFmtId="174" formatCode="#,##0"/>
    <numFmt numFmtId="175" formatCode="d\.m"/>
    <numFmt numFmtId="176" formatCode="dd\-mmm"/>
    <numFmt numFmtId="177" formatCode="0.00\ %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1"/>
      <name val="Arial"/>
      <family val="2"/>
      <charset val="1"/>
    </font>
    <font>
      <b val="true"/>
      <sz val="30"/>
      <color rgb="FF0B5394"/>
      <name val="Arial"/>
      <family val="2"/>
      <charset val="1"/>
    </font>
    <font>
      <sz val="10"/>
      <name val="Arial"/>
      <family val="2"/>
      <charset val="1"/>
    </font>
    <font>
      <b val="true"/>
      <sz val="12"/>
      <color rgb="FF0B5394"/>
      <name val="Arial"/>
      <family val="2"/>
      <charset val="1"/>
    </font>
    <font>
      <sz val="12"/>
      <color rgb="FF0B5394"/>
      <name val="Arial"/>
      <family val="2"/>
      <charset val="1"/>
    </font>
    <font>
      <b val="true"/>
      <sz val="11"/>
      <color rgb="FF434343"/>
      <name val="Arial"/>
      <family val="2"/>
      <charset val="1"/>
    </font>
    <font>
      <sz val="11"/>
      <color rgb="FF434343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color rgb="FF666666"/>
      <name val="Arial"/>
      <family val="2"/>
      <charset val="1"/>
    </font>
    <font>
      <sz val="10"/>
      <color rgb="FF999999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0"/>
      <color rgb="FF434343"/>
      <name val="Arial"/>
      <family val="2"/>
      <charset val="1"/>
    </font>
    <font>
      <b val="true"/>
      <sz val="11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EFEFEF"/>
        <bgColor rgb="FFF2EAFF"/>
      </patternFill>
    </fill>
    <fill>
      <patternFill patternType="solid">
        <fgColor rgb="FF2F75B5"/>
        <bgColor rgb="FF3D85C6"/>
      </patternFill>
    </fill>
    <fill>
      <patternFill patternType="solid">
        <fgColor rgb="FFBDD7EE"/>
        <bgColor rgb="FFCCCCCC"/>
      </patternFill>
    </fill>
    <fill>
      <patternFill patternType="solid">
        <fgColor rgb="FFA6A6A6"/>
        <bgColor rgb="FF999999"/>
      </patternFill>
    </fill>
    <fill>
      <patternFill patternType="solid">
        <fgColor rgb="FF8FAADC"/>
        <bgColor rgb="FFA6A6A6"/>
      </patternFill>
    </fill>
    <fill>
      <patternFill patternType="solid">
        <fgColor rgb="FFD9D9D9"/>
        <bgColor rgb="FFCCCCCC"/>
      </patternFill>
    </fill>
    <fill>
      <patternFill patternType="solid">
        <fgColor rgb="FFF2EAFF"/>
        <bgColor rgb="FFEFEFEF"/>
      </patternFill>
    </fill>
    <fill>
      <patternFill patternType="solid">
        <fgColor rgb="FFFBE8E7"/>
        <bgColor rgb="FFEFEFEF"/>
      </patternFill>
    </fill>
    <fill>
      <patternFill patternType="solid">
        <fgColor rgb="FFD2FCF9"/>
        <bgColor rgb="FFEFEFEF"/>
      </patternFill>
    </fill>
    <fill>
      <patternFill patternType="solid">
        <fgColor rgb="FFFFF1CC"/>
        <bgColor rgb="FFFBE8E7"/>
      </patternFill>
    </fill>
    <fill>
      <patternFill patternType="solid">
        <fgColor rgb="FF7F7F7F"/>
        <bgColor rgb="FF666666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B5394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thin">
        <color rgb="FFD9D9D9"/>
      </top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/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rgb="FFCCCCCC"/>
      </top>
      <bottom style="thin">
        <color rgb="FFCCCCCC"/>
      </bottom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thin">
        <color rgb="FFCCCCCC"/>
      </top>
      <bottom style="hair"/>
      <diagonal/>
    </border>
    <border diagonalUp="false" diagonalDown="false">
      <left/>
      <right/>
      <top style="thin">
        <color rgb="FFCCCCCC"/>
      </top>
      <bottom style="thin">
        <color rgb="FFB7B7B7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9" fillId="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9" fillId="6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9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9" fillId="6" borderId="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1" fillId="7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1" fillId="7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21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1" fillId="7" borderId="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21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1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2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22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2" fillId="0" borderId="1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1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1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21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7" fontId="21" fillId="7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22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1" fillId="7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2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2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4">
    <dxf>
      <fill>
        <patternFill patternType="solid">
          <fgColor rgb="FF8FAADC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CCCCCC"/>
          <bgColor rgb="FF272727"/>
        </patternFill>
      </fill>
    </dxf>
    <dxf>
      <fill>
        <patternFill patternType="solid">
          <fgColor rgb="FF434343"/>
        </patternFill>
      </fill>
    </dxf>
    <dxf>
      <fill>
        <patternFill patternType="solid">
          <fgColor rgb="FFA6A6A6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2EAFF"/>
        </patternFill>
      </fill>
    </dxf>
    <dxf>
      <fill>
        <patternFill patternType="solid">
          <fgColor rgb="FFFBE8E7"/>
        </patternFill>
      </fill>
    </dxf>
    <dxf>
      <fill>
        <patternFill patternType="solid">
          <fgColor rgb="FFD2FCF9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7F7F7F"/>
        </patternFill>
      </fill>
    </dxf>
    <dxf>
      <fill>
        <patternFill patternType="solid">
          <fgColor rgb="FF00B050"/>
        </patternFill>
      </fill>
    </dxf>
    <dxf>
      <fill>
        <patternFill patternType="solid">
          <f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D85C6"/>
      <rgbColor rgb="FFB7B7B7"/>
      <rgbColor rgb="FF7F7F7F"/>
      <rgbColor rgb="FF8FAADC"/>
      <rgbColor rgb="FF993366"/>
      <rgbColor rgb="FFFFF1CC"/>
      <rgbColor rgb="FFD2FCF9"/>
      <rgbColor rgb="FF660066"/>
      <rgbColor rgb="FFFF8080"/>
      <rgbColor rgb="FF0B539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9D9D9"/>
      <rgbColor rgb="FFFBE8E7"/>
      <rgbColor rgb="FFCCCCCC"/>
      <rgbColor rgb="FFFF99CC"/>
      <rgbColor rgb="FFA6A6A6"/>
      <rgbColor rgb="FFF2EAFF"/>
      <rgbColor rgb="FF2F75B5"/>
      <rgbColor rgb="FF33CCCC"/>
      <rgbColor rgb="FF99CC00"/>
      <rgbColor rgb="FFFFC000"/>
      <rgbColor rgb="FFFF9900"/>
      <rgbColor rgb="FFFF6600"/>
      <rgbColor rgb="FF666666"/>
      <rgbColor rgb="FF999999"/>
      <rgbColor rgb="FF003366"/>
      <rgbColor rgb="FF00B050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3D85C6"/>
    <pageSetUpPr fitToPage="false"/>
  </sheetPr>
  <dimension ref="A1:CY43"/>
  <sheetViews>
    <sheetView showFormulas="false" showGridLines="fals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P22" activeCellId="0" sqref="P22"/>
    </sheetView>
  </sheetViews>
  <sheetFormatPr defaultColWidth="14.4453125" defaultRowHeight="12.8" zeroHeight="false" outlineLevelRow="1" outlineLevelCol="0"/>
  <cols>
    <col collapsed="false" customWidth="true" hidden="false" outlineLevel="0" max="1" min="1" style="1" width="2.31"/>
    <col collapsed="false" customWidth="true" hidden="false" outlineLevel="0" max="2" min="2" style="1" width="8"/>
    <col collapsed="false" customWidth="true" hidden="false" outlineLevel="0" max="3" min="3" style="1" width="5.14"/>
    <col collapsed="false" customWidth="true" hidden="false" outlineLevel="0" max="4" min="4" style="1" width="37.86"/>
    <col collapsed="false" customWidth="true" hidden="false" outlineLevel="0" max="11" min="5" style="1" width="15.29"/>
    <col collapsed="false" customWidth="true" hidden="false" outlineLevel="0" max="13" min="12" style="1" width="9"/>
    <col collapsed="false" customWidth="true" hidden="false" outlineLevel="0" max="14" min="14" style="2" width="10.71"/>
    <col collapsed="false" customWidth="true" hidden="false" outlineLevel="0" max="15" min="15" style="1" width="11.86"/>
    <col collapsed="false" customWidth="true" hidden="false" outlineLevel="0" max="16" min="16" style="1" width="12.42"/>
    <col collapsed="false" customWidth="true" hidden="false" outlineLevel="0" max="37" min="17" style="1" width="8"/>
    <col collapsed="false" customWidth="true" hidden="false" outlineLevel="0" max="59" min="38" style="1" width="9.71"/>
    <col collapsed="false" customWidth="true" hidden="false" outlineLevel="0" max="81" min="60" style="1" width="9.42"/>
    <col collapsed="false" customWidth="true" hidden="false" outlineLevel="0" max="103" min="82" style="1" width="7.41"/>
    <col collapsed="false" customWidth="false" hidden="false" outlineLevel="0" max="1024" min="104" style="1" width="14.43"/>
  </cols>
  <sheetData>
    <row r="1" customFormat="false" ht="21" hidden="false" customHeight="true" outlineLevel="0" collapsed="false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/>
      <c r="R1" s="6"/>
      <c r="S1" s="6"/>
      <c r="T1" s="6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3"/>
    </row>
    <row r="2" customFormat="false" ht="21" hidden="false" customHeight="true" outlineLevel="0" collapsed="false">
      <c r="A2" s="3"/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10"/>
      <c r="O2" s="9"/>
      <c r="P2" s="9"/>
      <c r="Q2" s="11"/>
      <c r="R2" s="11"/>
      <c r="S2" s="11"/>
      <c r="T2" s="11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customFormat="false" ht="21" hidden="false" customHeight="true" outlineLevel="0" collapsed="false">
      <c r="A3" s="3"/>
      <c r="B3" s="12" t="s">
        <v>1</v>
      </c>
      <c r="C3" s="12"/>
      <c r="D3" s="12"/>
      <c r="E3" s="13" t="s">
        <v>2</v>
      </c>
      <c r="F3" s="13"/>
      <c r="G3" s="13"/>
      <c r="H3" s="13"/>
      <c r="I3" s="14"/>
      <c r="J3" s="14"/>
      <c r="K3" s="14"/>
      <c r="O3" s="15"/>
      <c r="P3" s="15"/>
      <c r="Q3" s="12" t="s">
        <v>3</v>
      </c>
      <c r="R3" s="12"/>
      <c r="S3" s="12"/>
      <c r="T3" s="12"/>
      <c r="U3" s="12"/>
      <c r="V3" s="12"/>
      <c r="W3" s="16" t="s">
        <v>4</v>
      </c>
      <c r="X3" s="16"/>
      <c r="Y3" s="16"/>
      <c r="Z3" s="16"/>
      <c r="AA3" s="16"/>
      <c r="AB3" s="16"/>
      <c r="AC3" s="16"/>
      <c r="AD3" s="16"/>
      <c r="AE3" s="16"/>
      <c r="AF3" s="16"/>
      <c r="AG3" s="3"/>
    </row>
    <row r="4" customFormat="false" ht="21" hidden="false" customHeight="true" outlineLevel="0" collapsed="false">
      <c r="A4" s="3"/>
      <c r="B4" s="12" t="s">
        <v>5</v>
      </c>
      <c r="C4" s="12"/>
      <c r="D4" s="12"/>
      <c r="E4" s="17" t="s">
        <v>6</v>
      </c>
      <c r="F4" s="17"/>
      <c r="G4" s="17"/>
      <c r="H4" s="17"/>
      <c r="I4" s="14"/>
      <c r="J4" s="14"/>
      <c r="K4" s="14"/>
      <c r="O4" s="18"/>
      <c r="P4" s="18"/>
      <c r="Q4" s="12" t="s">
        <v>7</v>
      </c>
      <c r="R4" s="12"/>
      <c r="S4" s="12"/>
      <c r="T4" s="12"/>
      <c r="U4" s="12"/>
      <c r="V4" s="12"/>
      <c r="W4" s="19" t="n">
        <v>46044</v>
      </c>
      <c r="X4" s="19"/>
      <c r="Y4" s="19"/>
      <c r="Z4" s="19"/>
      <c r="AA4" s="19"/>
      <c r="AB4" s="19"/>
      <c r="AC4" s="19"/>
      <c r="AD4" s="19"/>
      <c r="AE4" s="19"/>
      <c r="AF4" s="19"/>
      <c r="AG4" s="3"/>
    </row>
    <row r="5" customFormat="false" ht="21" hidden="false" customHeight="true" outlineLevel="0" collapsed="false">
      <c r="A5" s="3"/>
      <c r="B5" s="12" t="s">
        <v>8</v>
      </c>
      <c r="C5" s="12"/>
      <c r="D5" s="12"/>
      <c r="E5" s="20" t="s">
        <v>9</v>
      </c>
      <c r="F5" s="20"/>
      <c r="G5" s="20"/>
      <c r="H5" s="20"/>
      <c r="I5" s="21"/>
      <c r="J5" s="21"/>
      <c r="K5" s="21"/>
      <c r="O5" s="21"/>
      <c r="P5" s="21"/>
      <c r="Q5" s="22"/>
      <c r="R5" s="22"/>
      <c r="S5" s="22"/>
      <c r="T5" s="22"/>
      <c r="U5" s="22"/>
      <c r="V5" s="22"/>
      <c r="W5" s="22"/>
      <c r="X5" s="21"/>
      <c r="Y5" s="21"/>
      <c r="Z5" s="21"/>
      <c r="AA5" s="21"/>
      <c r="AB5" s="21"/>
      <c r="AC5" s="21"/>
      <c r="AD5" s="20"/>
      <c r="AE5" s="20"/>
      <c r="AF5" s="20"/>
      <c r="AG5" s="20"/>
      <c r="AH5" s="20"/>
      <c r="AI5" s="20"/>
      <c r="AJ5" s="20"/>
      <c r="AK5" s="20"/>
      <c r="AL5" s="20"/>
      <c r="AM5" s="3"/>
    </row>
    <row r="6" customFormat="false" ht="21" hidden="false" customHeight="true" outlineLevel="0" collapsed="false">
      <c r="A6" s="3"/>
      <c r="B6" s="12" t="s">
        <v>10</v>
      </c>
      <c r="C6" s="12"/>
      <c r="D6" s="12"/>
      <c r="E6" s="23" t="n">
        <v>45939</v>
      </c>
      <c r="F6" s="23"/>
      <c r="G6" s="23"/>
      <c r="H6" s="23"/>
      <c r="I6" s="24"/>
      <c r="J6" s="24"/>
      <c r="K6" s="24"/>
      <c r="O6" s="14"/>
      <c r="P6" s="14"/>
      <c r="Q6" s="14"/>
      <c r="R6" s="25"/>
      <c r="S6" s="25"/>
      <c r="T6" s="25"/>
      <c r="U6" s="25"/>
      <c r="V6" s="25"/>
      <c r="W6" s="25"/>
      <c r="X6" s="14"/>
      <c r="Y6" s="14"/>
      <c r="Z6" s="14"/>
      <c r="AA6" s="14"/>
      <c r="AB6" s="14"/>
      <c r="AC6" s="14"/>
      <c r="AD6" s="14"/>
      <c r="AE6" s="14"/>
      <c r="AF6" s="14"/>
      <c r="AG6" s="3"/>
    </row>
    <row r="7" customFormat="false" ht="21" hidden="false" customHeight="true" outlineLevel="0" collapsed="false">
      <c r="A7" s="3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26"/>
      <c r="O7" s="26"/>
      <c r="P7" s="26"/>
      <c r="Q7" s="11"/>
      <c r="R7" s="11"/>
      <c r="S7" s="11"/>
      <c r="T7" s="11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customFormat="false" ht="23.25" hidden="false" customHeight="true" outlineLevel="0" collapsed="false">
      <c r="A8" s="27"/>
      <c r="B8" s="28" t="s">
        <v>11</v>
      </c>
      <c r="C8" s="28" t="s">
        <v>12</v>
      </c>
      <c r="D8" s="28" t="s">
        <v>13</v>
      </c>
      <c r="E8" s="28" t="s">
        <v>14</v>
      </c>
      <c r="F8" s="28" t="s">
        <v>15</v>
      </c>
      <c r="G8" s="28" t="s">
        <v>16</v>
      </c>
      <c r="H8" s="28" t="s">
        <v>17</v>
      </c>
      <c r="I8" s="28" t="s">
        <v>18</v>
      </c>
      <c r="J8" s="28" t="s">
        <v>19</v>
      </c>
      <c r="K8" s="28" t="s">
        <v>20</v>
      </c>
      <c r="L8" s="28" t="s">
        <v>21</v>
      </c>
      <c r="M8" s="28" t="s">
        <v>22</v>
      </c>
      <c r="N8" s="28" t="s">
        <v>23</v>
      </c>
      <c r="O8" s="28" t="s">
        <v>24</v>
      </c>
      <c r="P8" s="28" t="s">
        <v>25</v>
      </c>
      <c r="Q8" s="29" t="n">
        <f aca="false">Q10</f>
        <v>45939</v>
      </c>
      <c r="R8" s="29" t="n">
        <f aca="false">R10</f>
        <v>45940</v>
      </c>
      <c r="S8" s="29" t="n">
        <f aca="false">S10</f>
        <v>45943</v>
      </c>
      <c r="T8" s="29" t="n">
        <f aca="false">T10</f>
        <v>45944</v>
      </c>
      <c r="U8" s="29" t="n">
        <f aca="false">U10</f>
        <v>45945</v>
      </c>
      <c r="V8" s="29" t="n">
        <f aca="false">V10</f>
        <v>45946</v>
      </c>
      <c r="W8" s="29" t="n">
        <f aca="false">W10</f>
        <v>45947</v>
      </c>
      <c r="X8" s="29" t="n">
        <f aca="false">X10</f>
        <v>45950</v>
      </c>
      <c r="Y8" s="29" t="n">
        <f aca="false">Y10</f>
        <v>45951</v>
      </c>
      <c r="Z8" s="29" t="n">
        <f aca="false">Z10</f>
        <v>45952</v>
      </c>
      <c r="AA8" s="29" t="n">
        <f aca="false">AA10</f>
        <v>45953</v>
      </c>
      <c r="AB8" s="29" t="n">
        <f aca="false">AB10</f>
        <v>45954</v>
      </c>
      <c r="AC8" s="29" t="n">
        <f aca="false">AC10</f>
        <v>45957</v>
      </c>
      <c r="AD8" s="29" t="n">
        <f aca="false">AD10</f>
        <v>45958</v>
      </c>
      <c r="AE8" s="29" t="n">
        <f aca="false">AE10</f>
        <v>45959</v>
      </c>
      <c r="AF8" s="29" t="n">
        <f aca="false">AF10</f>
        <v>45960</v>
      </c>
      <c r="AG8" s="29" t="n">
        <f aca="false">AG10</f>
        <v>45961</v>
      </c>
      <c r="AH8" s="29" t="n">
        <f aca="false">AH10</f>
        <v>45964</v>
      </c>
      <c r="AI8" s="29" t="n">
        <f aca="false">AI10</f>
        <v>45965</v>
      </c>
      <c r="AJ8" s="29" t="n">
        <f aca="false">AJ10</f>
        <v>45966</v>
      </c>
      <c r="AK8" s="29" t="n">
        <f aca="false">AK10</f>
        <v>45967</v>
      </c>
      <c r="AL8" s="29" t="n">
        <f aca="false">AL10</f>
        <v>45968</v>
      </c>
      <c r="AM8" s="29" t="n">
        <f aca="false">AM10</f>
        <v>45971</v>
      </c>
      <c r="AN8" s="29" t="n">
        <f aca="false">AN10</f>
        <v>45972</v>
      </c>
      <c r="AO8" s="29" t="n">
        <f aca="false">AO10</f>
        <v>45973</v>
      </c>
      <c r="AP8" s="29" t="n">
        <f aca="false">AP10</f>
        <v>45974</v>
      </c>
      <c r="AQ8" s="29" t="n">
        <f aca="false">AQ10</f>
        <v>45975</v>
      </c>
      <c r="AR8" s="29" t="n">
        <f aca="false">AR10</f>
        <v>45978</v>
      </c>
      <c r="AS8" s="29" t="n">
        <f aca="false">AS10</f>
        <v>45979</v>
      </c>
      <c r="AT8" s="29" t="n">
        <f aca="false">AT10</f>
        <v>45980</v>
      </c>
      <c r="AU8" s="29" t="n">
        <f aca="false">AU10</f>
        <v>45981</v>
      </c>
      <c r="AV8" s="29" t="n">
        <f aca="false">AV10</f>
        <v>45982</v>
      </c>
      <c r="AW8" s="29" t="n">
        <f aca="false">AW10</f>
        <v>45985</v>
      </c>
      <c r="AX8" s="29" t="n">
        <f aca="false">AX10</f>
        <v>45986</v>
      </c>
      <c r="AY8" s="29" t="n">
        <f aca="false">AY10</f>
        <v>45987</v>
      </c>
      <c r="AZ8" s="29" t="n">
        <f aca="false">AZ10</f>
        <v>45988</v>
      </c>
      <c r="BA8" s="29" t="n">
        <f aca="false">BA10</f>
        <v>45989</v>
      </c>
      <c r="BB8" s="29" t="n">
        <f aca="false">BB10</f>
        <v>45992</v>
      </c>
      <c r="BC8" s="29" t="n">
        <f aca="false">BC10</f>
        <v>45993</v>
      </c>
      <c r="BD8" s="29" t="n">
        <f aca="false">BD10</f>
        <v>45994</v>
      </c>
      <c r="BE8" s="29" t="n">
        <f aca="false">BE10</f>
        <v>45995</v>
      </c>
      <c r="BF8" s="29" t="n">
        <f aca="false">BF10</f>
        <v>45996</v>
      </c>
      <c r="BG8" s="29" t="n">
        <f aca="false">BG10</f>
        <v>45999</v>
      </c>
      <c r="BH8" s="29" t="n">
        <f aca="false">BH10</f>
        <v>46000</v>
      </c>
      <c r="BI8" s="29" t="n">
        <f aca="false">BI10</f>
        <v>46001</v>
      </c>
      <c r="BJ8" s="29" t="n">
        <f aca="false">BJ10</f>
        <v>46002</v>
      </c>
      <c r="BK8" s="29" t="n">
        <f aca="false">BK10</f>
        <v>46003</v>
      </c>
      <c r="BL8" s="29" t="n">
        <f aca="false">BL10</f>
        <v>46006</v>
      </c>
      <c r="BM8" s="29" t="n">
        <f aca="false">BM10</f>
        <v>46007</v>
      </c>
      <c r="BN8" s="29" t="n">
        <f aca="false">BN10</f>
        <v>46008</v>
      </c>
      <c r="BO8" s="29" t="n">
        <f aca="false">BO10</f>
        <v>46009</v>
      </c>
      <c r="BP8" s="29" t="n">
        <f aca="false">BP10</f>
        <v>46010</v>
      </c>
      <c r="BQ8" s="29" t="n">
        <f aca="false">BQ10</f>
        <v>46013</v>
      </c>
      <c r="BR8" s="29" t="n">
        <f aca="false">BR10</f>
        <v>46014</v>
      </c>
      <c r="BS8" s="29" t="n">
        <f aca="false">BS10</f>
        <v>46015</v>
      </c>
      <c r="BT8" s="29" t="n">
        <f aca="false">BT10</f>
        <v>46016</v>
      </c>
      <c r="BU8" s="29" t="n">
        <f aca="false">BU10</f>
        <v>46017</v>
      </c>
      <c r="BV8" s="29" t="n">
        <f aca="false">BV10</f>
        <v>46020</v>
      </c>
      <c r="BW8" s="29" t="n">
        <f aca="false">BW10</f>
        <v>46021</v>
      </c>
      <c r="BX8" s="29" t="n">
        <f aca="false">BX10</f>
        <v>46022</v>
      </c>
      <c r="BY8" s="29" t="n">
        <f aca="false">BY10</f>
        <v>46023</v>
      </c>
      <c r="BZ8" s="29" t="n">
        <f aca="false">BZ10</f>
        <v>46024</v>
      </c>
      <c r="CA8" s="29" t="n">
        <f aca="false">CA10</f>
        <v>46027</v>
      </c>
      <c r="CB8" s="29" t="n">
        <f aca="false">CB10</f>
        <v>46028</v>
      </c>
      <c r="CC8" s="29" t="n">
        <f aca="false">CC10</f>
        <v>46029</v>
      </c>
      <c r="CD8" s="29" t="n">
        <f aca="false">CD10</f>
        <v>46030</v>
      </c>
      <c r="CE8" s="29" t="n">
        <f aca="false">CE10</f>
        <v>46031</v>
      </c>
      <c r="CF8" s="29" t="n">
        <f aca="false">CF10</f>
        <v>46034</v>
      </c>
      <c r="CG8" s="29" t="n">
        <f aca="false">CG10</f>
        <v>46035</v>
      </c>
      <c r="CH8" s="29" t="n">
        <f aca="false">CH10</f>
        <v>46036</v>
      </c>
      <c r="CI8" s="29" t="n">
        <f aca="false">CI10</f>
        <v>46037</v>
      </c>
      <c r="CJ8" s="29" t="n">
        <f aca="false">CJ10</f>
        <v>46038</v>
      </c>
      <c r="CK8" s="29" t="n">
        <f aca="false">CK10</f>
        <v>46041</v>
      </c>
      <c r="CL8" s="29" t="n">
        <f aca="false">CL10</f>
        <v>46042</v>
      </c>
      <c r="CM8" s="29" t="n">
        <f aca="false">CM10</f>
        <v>46043</v>
      </c>
      <c r="CN8" s="29" t="n">
        <f aca="false">CN10</f>
        <v>46044</v>
      </c>
      <c r="CO8" s="29" t="n">
        <f aca="false">CO10</f>
        <v>46045</v>
      </c>
      <c r="CP8" s="29" t="n">
        <f aca="false">CP10</f>
        <v>46048</v>
      </c>
      <c r="CQ8" s="29" t="n">
        <f aca="false">CQ10</f>
        <v>46049</v>
      </c>
      <c r="CR8" s="29" t="n">
        <f aca="false">CR10</f>
        <v>46050</v>
      </c>
      <c r="CS8" s="29" t="n">
        <f aca="false">CS10</f>
        <v>46051</v>
      </c>
      <c r="CT8" s="29" t="n">
        <f aca="false">CT10</f>
        <v>46052</v>
      </c>
      <c r="CU8" s="29" t="n">
        <f aca="false">CU10</f>
        <v>46055</v>
      </c>
      <c r="CV8" s="29" t="n">
        <f aca="false">CV10</f>
        <v>46056</v>
      </c>
      <c r="CW8" s="29" t="n">
        <f aca="false">CW10</f>
        <v>46057</v>
      </c>
      <c r="CX8" s="29" t="n">
        <f aca="false">CX10</f>
        <v>46058</v>
      </c>
      <c r="CY8" s="29" t="n">
        <f aca="false">CY10</f>
        <v>46059</v>
      </c>
    </row>
    <row r="9" customFormat="false" ht="22.5" hidden="false" customHeight="true" outlineLevel="0" collapsed="false">
      <c r="A9" s="30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31" t="str">
        <f aca="false">"Sem"&amp;"-"&amp;(IF(WEEKNUM(Q10,2)&lt;=9,0,))&amp;WEEKNUM(Q10,2)-1</f>
        <v>Sem-40</v>
      </c>
      <c r="R9" s="31" t="str">
        <f aca="false">"Sem"&amp;"-"&amp;(IF(WEEKNUM(R10,2)&lt;=9,0,))&amp;WEEKNUM(R10,2)-1</f>
        <v>Sem-40</v>
      </c>
      <c r="S9" s="31" t="str">
        <f aca="false">"Sem"&amp;"-"&amp;(IF(WEEKNUM(S10,2)&lt;=9,0,))&amp;WEEKNUM(S10,2)-1</f>
        <v>Sem-41</v>
      </c>
      <c r="T9" s="31" t="str">
        <f aca="false">"Sem"&amp;"-"&amp;(IF(WEEKNUM(T10,2)&lt;=9,0,))&amp;WEEKNUM(T10,2)-1</f>
        <v>Sem-41</v>
      </c>
      <c r="U9" s="31" t="str">
        <f aca="false">"Sem"&amp;"-"&amp;(IF(WEEKNUM(U10,2)&lt;=9,0,))&amp;WEEKNUM(U10,2)-1</f>
        <v>Sem-41</v>
      </c>
      <c r="V9" s="31" t="str">
        <f aca="false">"Sem"&amp;"-"&amp;(IF(WEEKNUM(V10,2)&lt;=9,0,))&amp;WEEKNUM(V10,2)-1</f>
        <v>Sem-41</v>
      </c>
      <c r="W9" s="31" t="str">
        <f aca="false">"Sem"&amp;"-"&amp;(IF(WEEKNUM(W10,2)&lt;=9,0,))&amp;WEEKNUM(W10,2)-1</f>
        <v>Sem-41</v>
      </c>
      <c r="X9" s="31" t="str">
        <f aca="false">"Sem"&amp;"-"&amp;(IF(WEEKNUM(X10,2)&lt;=9,0,))&amp;WEEKNUM(X10,2)-1</f>
        <v>Sem-42</v>
      </c>
      <c r="Y9" s="31" t="str">
        <f aca="false">"Sem"&amp;"-"&amp;(IF(WEEKNUM(Y10,2)&lt;=9,0,))&amp;WEEKNUM(Y10,2)-1</f>
        <v>Sem-42</v>
      </c>
      <c r="Z9" s="31" t="str">
        <f aca="false">"Sem"&amp;"-"&amp;(IF(WEEKNUM(Z10,2)&lt;=9,0,))&amp;WEEKNUM(Z10,2)-1</f>
        <v>Sem-42</v>
      </c>
      <c r="AA9" s="31" t="str">
        <f aca="false">"Sem"&amp;"-"&amp;(IF(WEEKNUM(AA10,2)&lt;=9,0,))&amp;WEEKNUM(AA10,2)-1</f>
        <v>Sem-42</v>
      </c>
      <c r="AB9" s="31" t="str">
        <f aca="false">"Sem"&amp;"-"&amp;(IF(WEEKNUM(AB10,2)&lt;=9,0,))&amp;WEEKNUM(AB10,2)-1</f>
        <v>Sem-42</v>
      </c>
      <c r="AC9" s="31" t="str">
        <f aca="false">"Sem"&amp;"-"&amp;(IF(WEEKNUM(AC10,2)&lt;=9,0,))&amp;WEEKNUM(AC10,2)-1</f>
        <v>Sem-43</v>
      </c>
      <c r="AD9" s="31" t="str">
        <f aca="false">"Sem"&amp;"-"&amp;(IF(WEEKNUM(AD10,2)&lt;=9,0,))&amp;WEEKNUM(AD10,2)-1</f>
        <v>Sem-43</v>
      </c>
      <c r="AE9" s="31" t="str">
        <f aca="false">"Sem"&amp;"-"&amp;(IF(WEEKNUM(AE10,2)&lt;=9,0,))&amp;WEEKNUM(AE10,2)-1</f>
        <v>Sem-43</v>
      </c>
      <c r="AF9" s="31" t="str">
        <f aca="false">"Sem"&amp;"-"&amp;(IF(WEEKNUM(AF10,2)&lt;=9,0,))&amp;WEEKNUM(AF10,2)-1</f>
        <v>Sem-43</v>
      </c>
      <c r="AG9" s="31" t="str">
        <f aca="false">"Sem"&amp;"-"&amp;(IF(WEEKNUM(AG10,2)&lt;=9,0,))&amp;WEEKNUM(AG10,2)-1</f>
        <v>Sem-43</v>
      </c>
      <c r="AH9" s="31" t="str">
        <f aca="false">"Sem"&amp;"-"&amp;(IF(WEEKNUM(AH10,2)&lt;=9,0,))&amp;WEEKNUM(AH10,2)-1</f>
        <v>Sem-44</v>
      </c>
      <c r="AI9" s="31" t="str">
        <f aca="false">"Sem"&amp;"-"&amp;(IF(WEEKNUM(AI10,2)&lt;=9,0,))&amp;WEEKNUM(AI10,2)-1</f>
        <v>Sem-44</v>
      </c>
      <c r="AJ9" s="31" t="str">
        <f aca="false">"Sem"&amp;"-"&amp;(IF(WEEKNUM(AJ10,2)&lt;=9,0,))&amp;WEEKNUM(AJ10,2)-1</f>
        <v>Sem-44</v>
      </c>
      <c r="AK9" s="31" t="str">
        <f aca="false">"Sem"&amp;"-"&amp;(IF(WEEKNUM(AK10,2)&lt;=9,0,))&amp;WEEKNUM(AK10,2)-1</f>
        <v>Sem-44</v>
      </c>
      <c r="AL9" s="31" t="str">
        <f aca="false">"Sem"&amp;"-"&amp;(IF(WEEKNUM(AL10,2)&lt;=9,0,))&amp;WEEKNUM(AL10,2)-1</f>
        <v>Sem-44</v>
      </c>
      <c r="AM9" s="31" t="str">
        <f aca="false">"Sem"&amp;"-"&amp;(IF(WEEKNUM(AM10,2)&lt;=9,0,))&amp;WEEKNUM(AM10,2)-1</f>
        <v>Sem-45</v>
      </c>
      <c r="AN9" s="31" t="str">
        <f aca="false">"Sem"&amp;"-"&amp;(IF(WEEKNUM(AN10,2)&lt;=9,0,))&amp;WEEKNUM(AN10,2)-1</f>
        <v>Sem-45</v>
      </c>
      <c r="AO9" s="31" t="str">
        <f aca="false">"Sem"&amp;"-"&amp;(IF(WEEKNUM(AO10,2)&lt;=9,0,))&amp;WEEKNUM(AO10,2)-1</f>
        <v>Sem-45</v>
      </c>
      <c r="AP9" s="31" t="str">
        <f aca="false">"Sem"&amp;"-"&amp;(IF(WEEKNUM(AP10,2)&lt;=9,0,))&amp;WEEKNUM(AP10,2)-1</f>
        <v>Sem-45</v>
      </c>
      <c r="AQ9" s="31" t="str">
        <f aca="false">"Sem"&amp;"-"&amp;(IF(WEEKNUM(AQ10,2)&lt;=9,0,))&amp;WEEKNUM(AQ10,2)-1</f>
        <v>Sem-45</v>
      </c>
      <c r="AR9" s="31" t="str">
        <f aca="false">"Sem"&amp;"-"&amp;(IF(WEEKNUM(AR10,2)&lt;=9,0,))&amp;WEEKNUM(AR10,2)-1</f>
        <v>Sem-46</v>
      </c>
      <c r="AS9" s="31" t="str">
        <f aca="false">"Sem"&amp;"-"&amp;(IF(WEEKNUM(AS10,2)&lt;=9,0,))&amp;WEEKNUM(AS10,2)-1</f>
        <v>Sem-46</v>
      </c>
      <c r="AT9" s="31" t="str">
        <f aca="false">"Sem"&amp;"-"&amp;(IF(WEEKNUM(AT10,2)&lt;=9,0,))&amp;WEEKNUM(AT10,2)-1</f>
        <v>Sem-46</v>
      </c>
      <c r="AU9" s="31" t="str">
        <f aca="false">"Sem"&amp;"-"&amp;(IF(WEEKNUM(AU10,2)&lt;=9,0,))&amp;WEEKNUM(AU10,2)-1</f>
        <v>Sem-46</v>
      </c>
      <c r="AV9" s="31" t="str">
        <f aca="false">"Sem"&amp;"-"&amp;(IF(WEEKNUM(AV10,2)&lt;=9,0,))&amp;WEEKNUM(AV10,2)-1</f>
        <v>Sem-46</v>
      </c>
      <c r="AW9" s="31" t="str">
        <f aca="false">"Sem"&amp;"-"&amp;(IF(WEEKNUM(AW10,2)&lt;=9,0,))&amp;WEEKNUM(AW10,2)-1</f>
        <v>Sem-47</v>
      </c>
      <c r="AX9" s="31" t="str">
        <f aca="false">"Sem"&amp;"-"&amp;(IF(WEEKNUM(AX10,2)&lt;=9,0,))&amp;WEEKNUM(AX10,2)-1</f>
        <v>Sem-47</v>
      </c>
      <c r="AY9" s="31" t="str">
        <f aca="false">"Sem"&amp;"-"&amp;(IF(WEEKNUM(AY10,2)&lt;=9,0,))&amp;WEEKNUM(AY10,2)-1</f>
        <v>Sem-47</v>
      </c>
      <c r="AZ9" s="31" t="str">
        <f aca="false">"Sem"&amp;"-"&amp;(IF(WEEKNUM(AZ10,2)&lt;=9,0,))&amp;WEEKNUM(AZ10,2)-1</f>
        <v>Sem-47</v>
      </c>
      <c r="BA9" s="31" t="str">
        <f aca="false">"Sem"&amp;"-"&amp;(IF(WEEKNUM(BA10,2)&lt;=9,0,))&amp;WEEKNUM(BA10,2)-1</f>
        <v>Sem-47</v>
      </c>
      <c r="BB9" s="31" t="str">
        <f aca="false">"Sem"&amp;"-"&amp;(IF(WEEKNUM(BB10,2)&lt;=9,0,))&amp;WEEKNUM(BB10,2)-1</f>
        <v>Sem-48</v>
      </c>
      <c r="BC9" s="31" t="str">
        <f aca="false">"Sem"&amp;"-"&amp;(IF(WEEKNUM(BC10,2)&lt;=9,0,))&amp;WEEKNUM(BC10,2)-1</f>
        <v>Sem-48</v>
      </c>
      <c r="BD9" s="31" t="str">
        <f aca="false">"Sem"&amp;"-"&amp;(IF(WEEKNUM(BD10,2)&lt;=9,0,))&amp;WEEKNUM(BD10,2)-1</f>
        <v>Sem-48</v>
      </c>
      <c r="BE9" s="31" t="str">
        <f aca="false">"Sem"&amp;"-"&amp;(IF(WEEKNUM(BE10,2)&lt;=9,0,))&amp;WEEKNUM(BE10,2)-1</f>
        <v>Sem-48</v>
      </c>
      <c r="BF9" s="31" t="str">
        <f aca="false">"Sem"&amp;"-"&amp;(IF(WEEKNUM(BF10,2)&lt;=9,0,))&amp;WEEKNUM(BF10,2)-1</f>
        <v>Sem-48</v>
      </c>
      <c r="BG9" s="31" t="str">
        <f aca="false">"Sem"&amp;"-"&amp;(IF(WEEKNUM(BG10,2)&lt;=9,0,))&amp;WEEKNUM(BG10,2)-1</f>
        <v>Sem-49</v>
      </c>
      <c r="BH9" s="31" t="str">
        <f aca="false">"Sem"&amp;"-"&amp;(IF(WEEKNUM(BH10,2)&lt;=9,0,))&amp;WEEKNUM(BH10,2)-1</f>
        <v>Sem-49</v>
      </c>
      <c r="BI9" s="31" t="str">
        <f aca="false">"Sem"&amp;"-"&amp;(IF(WEEKNUM(BI10,2)&lt;=9,0,))&amp;WEEKNUM(BI10,2)-1</f>
        <v>Sem-49</v>
      </c>
      <c r="BJ9" s="31" t="str">
        <f aca="false">"Sem"&amp;"-"&amp;(IF(WEEKNUM(BJ10,2)&lt;=9,0,))&amp;WEEKNUM(BJ10,2)-1</f>
        <v>Sem-49</v>
      </c>
      <c r="BK9" s="31" t="str">
        <f aca="false">"Sem"&amp;"-"&amp;(IF(WEEKNUM(BK10,2)&lt;=9,0,))&amp;WEEKNUM(BK10,2)-1</f>
        <v>Sem-49</v>
      </c>
      <c r="BL9" s="31" t="str">
        <f aca="false">"Sem"&amp;"-"&amp;(IF(WEEKNUM(BL10,2)&lt;=9,0,))&amp;WEEKNUM(BL10,2)-1</f>
        <v>Sem-50</v>
      </c>
      <c r="BM9" s="31" t="str">
        <f aca="false">"Sem"&amp;"-"&amp;(IF(WEEKNUM(BM10,2)&lt;=9,0,))&amp;WEEKNUM(BM10,2)-1</f>
        <v>Sem-50</v>
      </c>
      <c r="BN9" s="31" t="str">
        <f aca="false">"Sem"&amp;"-"&amp;(IF(WEEKNUM(BN10,2)&lt;=9,0,))&amp;WEEKNUM(BN10,2)-1</f>
        <v>Sem-50</v>
      </c>
      <c r="BO9" s="31" t="str">
        <f aca="false">"Sem"&amp;"-"&amp;(IF(WEEKNUM(BO10,2)&lt;=9,0,))&amp;WEEKNUM(BO10,2)-1</f>
        <v>Sem-50</v>
      </c>
      <c r="BP9" s="31" t="str">
        <f aca="false">"Sem"&amp;"-"&amp;(IF(WEEKNUM(BP10,2)&lt;=9,0,))&amp;WEEKNUM(BP10,2)-1</f>
        <v>Sem-50</v>
      </c>
      <c r="BQ9" s="31" t="str">
        <f aca="false">"Sem"&amp;"-"&amp;(IF(WEEKNUM(BQ10,2)&lt;=9,0,))&amp;WEEKNUM(BQ10,2)-1</f>
        <v>Sem-51</v>
      </c>
      <c r="BR9" s="31" t="str">
        <f aca="false">"Sem"&amp;"-"&amp;(IF(WEEKNUM(BR10,2)&lt;=9,0,))&amp;WEEKNUM(BR10,2)-1</f>
        <v>Sem-51</v>
      </c>
      <c r="BS9" s="31" t="str">
        <f aca="false">"Sem"&amp;"-"&amp;(IF(WEEKNUM(BS10,2)&lt;=9,0,))&amp;WEEKNUM(BS10,2)-1</f>
        <v>Sem-51</v>
      </c>
      <c r="BT9" s="31" t="str">
        <f aca="false">"Sem"&amp;"-"&amp;(IF(WEEKNUM(BT10,2)&lt;=9,0,))&amp;WEEKNUM(BT10,2)-1</f>
        <v>Sem-51</v>
      </c>
      <c r="BU9" s="31" t="str">
        <f aca="false">"Sem"&amp;"-"&amp;(IF(WEEKNUM(BU10,2)&lt;=9,0,))&amp;WEEKNUM(BU10,2)-1</f>
        <v>Sem-51</v>
      </c>
      <c r="BV9" s="31" t="str">
        <f aca="false">"Sem"&amp;"-"&amp;(IF(WEEKNUM(BV10,2)&lt;=9,0,))&amp;WEEKNUM(BV10,2)-1</f>
        <v>Sem-52</v>
      </c>
      <c r="BW9" s="31" t="str">
        <f aca="false">"Sem"&amp;"-"&amp;(IF(WEEKNUM(BW10,2)&lt;=9,0,))&amp;WEEKNUM(BW10,2)-1</f>
        <v>Sem-52</v>
      </c>
      <c r="BX9" s="31" t="str">
        <f aca="false">"Sem"&amp;"-"&amp;(IF(WEEKNUM(BX10,2)&lt;=9,0,))&amp;WEEKNUM(BX10,2)-1</f>
        <v>Sem-52</v>
      </c>
      <c r="BY9" s="31" t="str">
        <f aca="false">"Sem"&amp;"-"&amp;(IF(WEEKNUM(BY10,2)&lt;=9,0,))&amp;WEEKNUM(BY10,2)-1</f>
        <v>Sem-00</v>
      </c>
      <c r="BZ9" s="31" t="str">
        <f aca="false">"Sem"&amp;"-"&amp;(IF(WEEKNUM(BZ10,2)&lt;=9,0,))&amp;WEEKNUM(BZ10,2)-1</f>
        <v>Sem-00</v>
      </c>
      <c r="CA9" s="31" t="str">
        <f aca="false">"Sem"&amp;"-"&amp;(IF(WEEKNUM(CA10,2)&lt;=9,0,))&amp;WEEKNUM(CA10,2)-1</f>
        <v>Sem-01</v>
      </c>
      <c r="CB9" s="31" t="str">
        <f aca="false">"Sem"&amp;"-"&amp;(IF(WEEKNUM(CB10,2)&lt;=9,0,))&amp;WEEKNUM(CB10,2)-1</f>
        <v>Sem-01</v>
      </c>
      <c r="CC9" s="31" t="str">
        <f aca="false">"Sem"&amp;"-"&amp;(IF(WEEKNUM(CC10,2)&lt;=9,0,))&amp;WEEKNUM(CC10,2)-1</f>
        <v>Sem-01</v>
      </c>
      <c r="CD9" s="31" t="str">
        <f aca="false">"Sem"&amp;"-"&amp;(IF(WEEKNUM(CD10,2)&lt;=9,0,))&amp;WEEKNUM(CD10,2)-1</f>
        <v>Sem-01</v>
      </c>
      <c r="CE9" s="31" t="str">
        <f aca="false">"Sem"&amp;"-"&amp;(IF(WEEKNUM(CE10,2)&lt;=9,0,))&amp;WEEKNUM(CE10,2)-1</f>
        <v>Sem-01</v>
      </c>
      <c r="CF9" s="31" t="str">
        <f aca="false">"Sem"&amp;"-"&amp;(IF(WEEKNUM(CF10,2)&lt;=9,0,))&amp;WEEKNUM(CF10,2)-1</f>
        <v>Sem-02</v>
      </c>
      <c r="CG9" s="31" t="str">
        <f aca="false">"Sem"&amp;"-"&amp;(IF(WEEKNUM(CG10,2)&lt;=9,0,))&amp;WEEKNUM(CG10,2)-1</f>
        <v>Sem-02</v>
      </c>
      <c r="CH9" s="31" t="str">
        <f aca="false">"Sem"&amp;"-"&amp;(IF(WEEKNUM(CH10,2)&lt;=9,0,))&amp;WEEKNUM(CH10,2)-1</f>
        <v>Sem-02</v>
      </c>
      <c r="CI9" s="31" t="str">
        <f aca="false">"Sem"&amp;"-"&amp;(IF(WEEKNUM(CI10,2)&lt;=9,0,))&amp;WEEKNUM(CI10,2)-1</f>
        <v>Sem-02</v>
      </c>
      <c r="CJ9" s="31" t="str">
        <f aca="false">"Sem"&amp;"-"&amp;(IF(WEEKNUM(CJ10,2)&lt;=9,0,))&amp;WEEKNUM(CJ10,2)-1</f>
        <v>Sem-02</v>
      </c>
      <c r="CK9" s="31" t="str">
        <f aca="false">"Sem"&amp;"-"&amp;(IF(WEEKNUM(CK10,2)&lt;=9,0,))&amp;WEEKNUM(CK10,2)-1</f>
        <v>Sem-03</v>
      </c>
      <c r="CL9" s="31" t="str">
        <f aca="false">"Sem"&amp;"-"&amp;(IF(WEEKNUM(CL10,2)&lt;=9,0,))&amp;WEEKNUM(CL10,2)-1</f>
        <v>Sem-03</v>
      </c>
      <c r="CM9" s="31" t="str">
        <f aca="false">"Sem"&amp;"-"&amp;(IF(WEEKNUM(CM10,2)&lt;=9,0,))&amp;WEEKNUM(CM10,2)-1</f>
        <v>Sem-03</v>
      </c>
      <c r="CN9" s="31" t="str">
        <f aca="false">"Sem"&amp;"-"&amp;(IF(WEEKNUM(CN10,2)&lt;=9,0,))&amp;WEEKNUM(CN10,2)-1</f>
        <v>Sem-03</v>
      </c>
      <c r="CO9" s="31" t="str">
        <f aca="false">"Sem"&amp;"-"&amp;(IF(WEEKNUM(CO10,2)&lt;=9,0,))&amp;WEEKNUM(CO10,2)-1</f>
        <v>Sem-03</v>
      </c>
      <c r="CP9" s="31" t="str">
        <f aca="false">"Sem"&amp;"-"&amp;(IF(WEEKNUM(CP10,2)&lt;=9,0,))&amp;WEEKNUM(CP10,2)-1</f>
        <v>Sem-04</v>
      </c>
      <c r="CQ9" s="31" t="str">
        <f aca="false">"Sem"&amp;"-"&amp;(IF(WEEKNUM(CQ10,2)&lt;=9,0,))&amp;WEEKNUM(CQ10,2)-1</f>
        <v>Sem-04</v>
      </c>
      <c r="CR9" s="31" t="str">
        <f aca="false">"Sem"&amp;"-"&amp;(IF(WEEKNUM(CR10,2)&lt;=9,0,))&amp;WEEKNUM(CR10,2)-1</f>
        <v>Sem-04</v>
      </c>
      <c r="CS9" s="31" t="str">
        <f aca="false">"Sem"&amp;"-"&amp;(IF(WEEKNUM(CS10,2)&lt;=9,0,))&amp;WEEKNUM(CS10,2)-1</f>
        <v>Sem-04</v>
      </c>
      <c r="CT9" s="31" t="str">
        <f aca="false">"Sem"&amp;"-"&amp;(IF(WEEKNUM(CT10,2)&lt;=9,0,))&amp;WEEKNUM(CT10,2)-1</f>
        <v>Sem-04</v>
      </c>
      <c r="CU9" s="31" t="str">
        <f aca="false">"Sem"&amp;"-"&amp;(IF(WEEKNUM(CU10,2)&lt;=9,0,))&amp;WEEKNUM(CU10,2)-1</f>
        <v>Sem-05</v>
      </c>
      <c r="CV9" s="31" t="str">
        <f aca="false">"Sem"&amp;"-"&amp;(IF(WEEKNUM(CV10,2)&lt;=9,0,))&amp;WEEKNUM(CV10,2)-1</f>
        <v>Sem-05</v>
      </c>
      <c r="CW9" s="31" t="str">
        <f aca="false">"Sem"&amp;"-"&amp;(IF(WEEKNUM(CW10,2)&lt;=9,0,))&amp;WEEKNUM(CW10,2)-1</f>
        <v>Sem-05</v>
      </c>
      <c r="CX9" s="31" t="str">
        <f aca="false">"Sem"&amp;"-"&amp;(IF(WEEKNUM(CX10,2)&lt;=9,0,))&amp;WEEKNUM(CX10,2)-1</f>
        <v>Sem-05</v>
      </c>
      <c r="CY9" s="31" t="str">
        <f aca="false">"Sem"&amp;"-"&amp;(IF(WEEKNUM(CY10,2)&lt;=9,0,))&amp;WEEKNUM(CY10,2)-1</f>
        <v>Sem-05</v>
      </c>
    </row>
    <row r="10" customFormat="false" ht="22.5" hidden="false" customHeight="true" outlineLevel="0" collapsed="false">
      <c r="A10" s="30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32" t="n">
        <f aca="false">E6</f>
        <v>45939</v>
      </c>
      <c r="R10" s="32" t="n">
        <f aca="false">WORKDAY(Q10,1)</f>
        <v>45940</v>
      </c>
      <c r="S10" s="32" t="n">
        <f aca="false">WORKDAY(R10,1)</f>
        <v>45943</v>
      </c>
      <c r="T10" s="32" t="n">
        <f aca="false">WORKDAY(S10,1)</f>
        <v>45944</v>
      </c>
      <c r="U10" s="32" t="n">
        <f aca="false">WORKDAY(T10,1)</f>
        <v>45945</v>
      </c>
      <c r="V10" s="32" t="n">
        <f aca="false">WORKDAY(U10,1)</f>
        <v>45946</v>
      </c>
      <c r="W10" s="32" t="n">
        <f aca="false">WORKDAY(V10,1)</f>
        <v>45947</v>
      </c>
      <c r="X10" s="32" t="n">
        <f aca="false">WORKDAY(W10,1)</f>
        <v>45950</v>
      </c>
      <c r="Y10" s="32" t="n">
        <f aca="false">WORKDAY(X10,1)</f>
        <v>45951</v>
      </c>
      <c r="Z10" s="32" t="n">
        <f aca="false">WORKDAY(Y10,1)</f>
        <v>45952</v>
      </c>
      <c r="AA10" s="32" t="n">
        <f aca="false">WORKDAY(Z10,1)</f>
        <v>45953</v>
      </c>
      <c r="AB10" s="32" t="n">
        <f aca="false">WORKDAY(AA10,1)</f>
        <v>45954</v>
      </c>
      <c r="AC10" s="32" t="n">
        <f aca="false">WORKDAY(AB10,1)</f>
        <v>45957</v>
      </c>
      <c r="AD10" s="32" t="n">
        <f aca="false">WORKDAY(AC10,1)</f>
        <v>45958</v>
      </c>
      <c r="AE10" s="32" t="n">
        <f aca="false">WORKDAY(AD10,1)</f>
        <v>45959</v>
      </c>
      <c r="AF10" s="32" t="n">
        <f aca="false">WORKDAY(AE10,1)</f>
        <v>45960</v>
      </c>
      <c r="AG10" s="32" t="n">
        <f aca="false">WORKDAY(AF10,1)</f>
        <v>45961</v>
      </c>
      <c r="AH10" s="32" t="n">
        <f aca="false">WORKDAY(AG10,1)</f>
        <v>45964</v>
      </c>
      <c r="AI10" s="32" t="n">
        <f aca="false">WORKDAY(AH10,1)</f>
        <v>45965</v>
      </c>
      <c r="AJ10" s="32" t="n">
        <f aca="false">WORKDAY(AI10,1)</f>
        <v>45966</v>
      </c>
      <c r="AK10" s="32" t="n">
        <f aca="false">WORKDAY(AJ10,1)</f>
        <v>45967</v>
      </c>
      <c r="AL10" s="32" t="n">
        <f aca="false">WORKDAY(AK10,1)</f>
        <v>45968</v>
      </c>
      <c r="AM10" s="32" t="n">
        <f aca="false">WORKDAY(AL10,1)</f>
        <v>45971</v>
      </c>
      <c r="AN10" s="32" t="n">
        <f aca="false">WORKDAY(AM10,1)</f>
        <v>45972</v>
      </c>
      <c r="AO10" s="32" t="n">
        <f aca="false">WORKDAY(AN10,1)</f>
        <v>45973</v>
      </c>
      <c r="AP10" s="32" t="n">
        <f aca="false">WORKDAY(AO10,1)</f>
        <v>45974</v>
      </c>
      <c r="AQ10" s="32" t="n">
        <f aca="false">WORKDAY(AP10,1)</f>
        <v>45975</v>
      </c>
      <c r="AR10" s="32" t="n">
        <f aca="false">WORKDAY(AQ10,1)</f>
        <v>45978</v>
      </c>
      <c r="AS10" s="32" t="n">
        <f aca="false">WORKDAY(AR10,1)</f>
        <v>45979</v>
      </c>
      <c r="AT10" s="32" t="n">
        <f aca="false">WORKDAY(AS10,1)</f>
        <v>45980</v>
      </c>
      <c r="AU10" s="32" t="n">
        <f aca="false">WORKDAY(AT10,1)</f>
        <v>45981</v>
      </c>
      <c r="AV10" s="32" t="n">
        <f aca="false">WORKDAY(AU10,1)</f>
        <v>45982</v>
      </c>
      <c r="AW10" s="32" t="n">
        <f aca="false">WORKDAY(AV10,1)</f>
        <v>45985</v>
      </c>
      <c r="AX10" s="32" t="n">
        <f aca="false">WORKDAY(AW10,1)</f>
        <v>45986</v>
      </c>
      <c r="AY10" s="32" t="n">
        <f aca="false">WORKDAY(AX10,1)</f>
        <v>45987</v>
      </c>
      <c r="AZ10" s="32" t="n">
        <f aca="false">WORKDAY(AY10,1)</f>
        <v>45988</v>
      </c>
      <c r="BA10" s="32" t="n">
        <f aca="false">WORKDAY(AZ10,1)</f>
        <v>45989</v>
      </c>
      <c r="BB10" s="32" t="n">
        <f aca="false">WORKDAY(BA10,1)</f>
        <v>45992</v>
      </c>
      <c r="BC10" s="32" t="n">
        <f aca="false">WORKDAY(BB10,1)</f>
        <v>45993</v>
      </c>
      <c r="BD10" s="32" t="n">
        <f aca="false">WORKDAY(BC10,1)</f>
        <v>45994</v>
      </c>
      <c r="BE10" s="32" t="n">
        <f aca="false">WORKDAY(BD10,1)</f>
        <v>45995</v>
      </c>
      <c r="BF10" s="32" t="n">
        <f aca="false">WORKDAY(BE10,1)</f>
        <v>45996</v>
      </c>
      <c r="BG10" s="32" t="n">
        <f aca="false">WORKDAY(BF10,1)</f>
        <v>45999</v>
      </c>
      <c r="BH10" s="32" t="n">
        <f aca="false">WORKDAY(BG10,1)</f>
        <v>46000</v>
      </c>
      <c r="BI10" s="32" t="n">
        <f aca="false">WORKDAY(BH10,1)</f>
        <v>46001</v>
      </c>
      <c r="BJ10" s="32" t="n">
        <f aca="false">WORKDAY(BI10,1)</f>
        <v>46002</v>
      </c>
      <c r="BK10" s="32" t="n">
        <f aca="false">WORKDAY(BJ10,1)</f>
        <v>46003</v>
      </c>
      <c r="BL10" s="32" t="n">
        <f aca="false">WORKDAY(BK10,1)</f>
        <v>46006</v>
      </c>
      <c r="BM10" s="32" t="n">
        <f aca="false">WORKDAY(BL10,1)</f>
        <v>46007</v>
      </c>
      <c r="BN10" s="32" t="n">
        <f aca="false">WORKDAY(BM10,1)</f>
        <v>46008</v>
      </c>
      <c r="BO10" s="32" t="n">
        <f aca="false">WORKDAY(BN10,1)</f>
        <v>46009</v>
      </c>
      <c r="BP10" s="32" t="n">
        <f aca="false">WORKDAY(BO10,1)</f>
        <v>46010</v>
      </c>
      <c r="BQ10" s="32" t="n">
        <f aca="false">WORKDAY(BP10,1)</f>
        <v>46013</v>
      </c>
      <c r="BR10" s="32" t="n">
        <f aca="false">WORKDAY(BQ10,1)</f>
        <v>46014</v>
      </c>
      <c r="BS10" s="32" t="n">
        <f aca="false">WORKDAY(BR10,1)</f>
        <v>46015</v>
      </c>
      <c r="BT10" s="32" t="n">
        <f aca="false">WORKDAY(BS10,1)</f>
        <v>46016</v>
      </c>
      <c r="BU10" s="32" t="n">
        <f aca="false">WORKDAY(BT10,1)</f>
        <v>46017</v>
      </c>
      <c r="BV10" s="32" t="n">
        <f aca="false">WORKDAY(BU10,1)</f>
        <v>46020</v>
      </c>
      <c r="BW10" s="32" t="n">
        <f aca="false">WORKDAY(BV10,1)</f>
        <v>46021</v>
      </c>
      <c r="BX10" s="32" t="n">
        <f aca="false">WORKDAY(BW10,1)</f>
        <v>46022</v>
      </c>
      <c r="BY10" s="32" t="n">
        <f aca="false">WORKDAY(BX10,1)</f>
        <v>46023</v>
      </c>
      <c r="BZ10" s="32" t="n">
        <f aca="false">WORKDAY(BY10,1)</f>
        <v>46024</v>
      </c>
      <c r="CA10" s="32" t="n">
        <f aca="false">WORKDAY(BZ10,1)</f>
        <v>46027</v>
      </c>
      <c r="CB10" s="32" t="n">
        <f aca="false">WORKDAY(CA10,1)</f>
        <v>46028</v>
      </c>
      <c r="CC10" s="32" t="n">
        <f aca="false">WORKDAY(CB10,1)</f>
        <v>46029</v>
      </c>
      <c r="CD10" s="32" t="n">
        <f aca="false">WORKDAY(CC10,1)</f>
        <v>46030</v>
      </c>
      <c r="CE10" s="32" t="n">
        <f aca="false">WORKDAY(CD10,1)</f>
        <v>46031</v>
      </c>
      <c r="CF10" s="32" t="n">
        <f aca="false">WORKDAY(CE10,1)</f>
        <v>46034</v>
      </c>
      <c r="CG10" s="32" t="n">
        <f aca="false">WORKDAY(CF10,1)</f>
        <v>46035</v>
      </c>
      <c r="CH10" s="32" t="n">
        <f aca="false">WORKDAY(CG10,1)</f>
        <v>46036</v>
      </c>
      <c r="CI10" s="32" t="n">
        <f aca="false">WORKDAY(CH10,1)</f>
        <v>46037</v>
      </c>
      <c r="CJ10" s="32" t="n">
        <f aca="false">WORKDAY(CI10,1)</f>
        <v>46038</v>
      </c>
      <c r="CK10" s="32" t="n">
        <f aca="false">WORKDAY(CJ10,1)</f>
        <v>46041</v>
      </c>
      <c r="CL10" s="32" t="n">
        <f aca="false">WORKDAY(CK10,1)</f>
        <v>46042</v>
      </c>
      <c r="CM10" s="32" t="n">
        <f aca="false">WORKDAY(CL10,1)</f>
        <v>46043</v>
      </c>
      <c r="CN10" s="32" t="n">
        <f aca="false">WORKDAY(CM10,1)</f>
        <v>46044</v>
      </c>
      <c r="CO10" s="32" t="n">
        <f aca="false">WORKDAY(CN10,1)</f>
        <v>46045</v>
      </c>
      <c r="CP10" s="32" t="n">
        <f aca="false">WORKDAY(CO10,1)</f>
        <v>46048</v>
      </c>
      <c r="CQ10" s="32" t="n">
        <f aca="false">WORKDAY(CP10,1)</f>
        <v>46049</v>
      </c>
      <c r="CR10" s="32" t="n">
        <f aca="false">WORKDAY(CQ10,1)</f>
        <v>46050</v>
      </c>
      <c r="CS10" s="32" t="n">
        <f aca="false">WORKDAY(CR10,1)</f>
        <v>46051</v>
      </c>
      <c r="CT10" s="32" t="n">
        <f aca="false">WORKDAY(CS10,1)</f>
        <v>46052</v>
      </c>
      <c r="CU10" s="32" t="n">
        <f aca="false">WORKDAY(CT10,1)</f>
        <v>46055</v>
      </c>
      <c r="CV10" s="32" t="n">
        <f aca="false">WORKDAY(CU10,1)</f>
        <v>46056</v>
      </c>
      <c r="CW10" s="32" t="n">
        <f aca="false">WORKDAY(CV10,1)</f>
        <v>46057</v>
      </c>
      <c r="CX10" s="32" t="n">
        <f aca="false">WORKDAY(CW10,1)</f>
        <v>46058</v>
      </c>
      <c r="CY10" s="32" t="n">
        <f aca="false">WORKDAY(CX10,1)</f>
        <v>46059</v>
      </c>
    </row>
    <row r="11" s="46" customFormat="true" ht="21" hidden="false" customHeight="true" outlineLevel="0" collapsed="false">
      <c r="A11" s="33" t="s">
        <v>26</v>
      </c>
      <c r="B11" s="34"/>
      <c r="C11" s="35"/>
      <c r="D11" s="36" t="s">
        <v>27</v>
      </c>
      <c r="E11" s="36"/>
      <c r="F11" s="36"/>
      <c r="G11" s="36"/>
      <c r="H11" s="36"/>
      <c r="I11" s="36"/>
      <c r="J11" s="36"/>
      <c r="K11" s="36"/>
      <c r="L11" s="37" t="str">
        <f aca="false">IF(MIN(L12:L32)&gt;0,MIN(L12:L32),"")</f>
        <v/>
      </c>
      <c r="M11" s="37" t="str">
        <f aca="false">IF(MAX(M12:M32)&gt;0,MAX(M12:M32),"")</f>
        <v/>
      </c>
      <c r="N11" s="38" t="e">
        <f aca="false">IF(OR(L11=0,M11=0),"",NETWORKDAYS(L11,M11))</f>
        <v>#VALUE!</v>
      </c>
      <c r="O11" s="39" t="e">
        <f aca="false">AVERAGE(O17,#re,O24,O29)</f>
        <v>#NAME?</v>
      </c>
      <c r="P11" s="40"/>
      <c r="Q11" s="41"/>
      <c r="R11" s="42"/>
      <c r="S11" s="43"/>
      <c r="T11" s="43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4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</row>
    <row r="12" s="60" customFormat="true" ht="21" hidden="false" customHeight="true" outlineLevel="0" collapsed="false">
      <c r="A12" s="47"/>
      <c r="B12" s="48" t="n">
        <v>1</v>
      </c>
      <c r="C12" s="49" t="s">
        <v>28</v>
      </c>
      <c r="D12" s="49"/>
      <c r="E12" s="50"/>
      <c r="F12" s="50"/>
      <c r="G12" s="50"/>
      <c r="H12" s="50"/>
      <c r="I12" s="50"/>
      <c r="J12" s="50"/>
      <c r="K12" s="50"/>
      <c r="L12" s="51" t="str">
        <f aca="false">IF(MIN(L13:L15)&gt;0,MIN(L13:L15),"")</f>
        <v/>
      </c>
      <c r="M12" s="51" t="str">
        <f aca="false">IF(MAX(M13:M15)&gt;0,MAX(M13:M15),"")</f>
        <v/>
      </c>
      <c r="N12" s="52" t="e">
        <f aca="false">IF(OR(L12=0,M12=0),"",NETWORKDAYS(L12,M12))</f>
        <v>#VALUE!</v>
      </c>
      <c r="O12" s="53" t="n">
        <f aca="false">AVERAGE(O13:O15)</f>
        <v>1</v>
      </c>
      <c r="P12" s="54"/>
      <c r="Q12" s="55"/>
      <c r="R12" s="56"/>
      <c r="S12" s="57"/>
      <c r="T12" s="57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8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/>
    </row>
    <row r="13" customFormat="false" ht="17.25" hidden="false" customHeight="true" outlineLevel="1" collapsed="false">
      <c r="A13" s="61" t="s">
        <v>29</v>
      </c>
      <c r="B13" s="62" t="s">
        <v>30</v>
      </c>
      <c r="C13" s="63" t="s">
        <v>31</v>
      </c>
      <c r="D13" s="63"/>
      <c r="E13" s="64" t="s">
        <v>32</v>
      </c>
      <c r="F13" s="65" t="s">
        <v>33</v>
      </c>
      <c r="G13" s="66" t="s">
        <v>34</v>
      </c>
      <c r="H13" s="67" t="s">
        <v>34</v>
      </c>
      <c r="I13" s="68"/>
      <c r="J13" s="69"/>
      <c r="K13" s="70"/>
      <c r="L13" s="71"/>
      <c r="M13" s="71"/>
      <c r="N13" s="72"/>
      <c r="O13" s="73" t="n">
        <v>1</v>
      </c>
      <c r="P13" s="74" t="s">
        <v>35</v>
      </c>
      <c r="Q13" s="75"/>
      <c r="R13" s="76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8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  <c r="CQ13" s="79"/>
      <c r="CR13" s="79"/>
      <c r="CS13" s="79"/>
      <c r="CT13" s="79"/>
      <c r="CU13" s="79"/>
      <c r="CV13" s="79"/>
      <c r="CW13" s="79"/>
      <c r="CX13" s="79"/>
      <c r="CY13" s="79"/>
    </row>
    <row r="14" customFormat="false" ht="17.25" hidden="false" customHeight="true" outlineLevel="1" collapsed="false">
      <c r="A14" s="61" t="s">
        <v>29</v>
      </c>
      <c r="B14" s="62" t="s">
        <v>36</v>
      </c>
      <c r="C14" s="80" t="s">
        <v>37</v>
      </c>
      <c r="D14" s="80"/>
      <c r="E14" s="64" t="s">
        <v>32</v>
      </c>
      <c r="F14" s="65" t="s">
        <v>38</v>
      </c>
      <c r="G14" s="66" t="s">
        <v>34</v>
      </c>
      <c r="H14" s="67" t="s">
        <v>34</v>
      </c>
      <c r="I14" s="68"/>
      <c r="J14" s="69"/>
      <c r="K14" s="70"/>
      <c r="L14" s="71"/>
      <c r="M14" s="71"/>
      <c r="N14" s="72"/>
      <c r="O14" s="73" t="n">
        <v>1</v>
      </c>
      <c r="P14" s="74" t="s">
        <v>35</v>
      </c>
      <c r="Q14" s="75"/>
      <c r="R14" s="76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8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</row>
    <row r="15" customFormat="false" ht="17.25" hidden="false" customHeight="true" outlineLevel="1" collapsed="false">
      <c r="A15" s="61" t="s">
        <v>29</v>
      </c>
      <c r="B15" s="62" t="s">
        <v>39</v>
      </c>
      <c r="C15" s="80" t="s">
        <v>40</v>
      </c>
      <c r="D15" s="80"/>
      <c r="E15" s="64" t="s">
        <v>32</v>
      </c>
      <c r="F15" s="65" t="s">
        <v>41</v>
      </c>
      <c r="G15" s="66" t="s">
        <v>34</v>
      </c>
      <c r="H15" s="67" t="s">
        <v>34</v>
      </c>
      <c r="I15" s="68" t="s">
        <v>42</v>
      </c>
      <c r="J15" s="69"/>
      <c r="K15" s="70"/>
      <c r="L15" s="71"/>
      <c r="M15" s="71"/>
      <c r="N15" s="72"/>
      <c r="O15" s="73" t="n">
        <v>1</v>
      </c>
      <c r="P15" s="74" t="s">
        <v>35</v>
      </c>
      <c r="Q15" s="75"/>
      <c r="R15" s="76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8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</row>
    <row r="16" customFormat="false" ht="17.25" hidden="false" customHeight="true" outlineLevel="1" collapsed="false">
      <c r="A16" s="61" t="s">
        <v>29</v>
      </c>
      <c r="B16" s="62" t="s">
        <v>43</v>
      </c>
      <c r="C16" s="80" t="s">
        <v>44</v>
      </c>
      <c r="D16" s="80"/>
      <c r="E16" s="64" t="s">
        <v>32</v>
      </c>
      <c r="F16" s="64" t="s">
        <v>32</v>
      </c>
      <c r="G16" s="66" t="s">
        <v>34</v>
      </c>
      <c r="H16" s="67" t="s">
        <v>34</v>
      </c>
      <c r="I16" s="68"/>
      <c r="J16" s="69"/>
      <c r="K16" s="70"/>
      <c r="L16" s="71"/>
      <c r="M16" s="71"/>
      <c r="N16" s="72"/>
      <c r="O16" s="73" t="n">
        <v>1</v>
      </c>
      <c r="P16" s="74" t="s">
        <v>35</v>
      </c>
      <c r="Q16" s="75"/>
      <c r="R16" s="76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8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</row>
    <row r="17" s="60" customFormat="true" ht="21" hidden="false" customHeight="true" outlineLevel="0" collapsed="false">
      <c r="A17" s="81"/>
      <c r="B17" s="82" t="n">
        <v>2</v>
      </c>
      <c r="C17" s="83" t="s">
        <v>45</v>
      </c>
      <c r="D17" s="83"/>
      <c r="E17" s="84"/>
      <c r="F17" s="84"/>
      <c r="G17" s="84"/>
      <c r="H17" s="84"/>
      <c r="I17" s="85"/>
      <c r="J17" s="84"/>
      <c r="K17" s="85"/>
      <c r="L17" s="86" t="str">
        <f aca="false">IF(MIN(L18:L22)&gt;0,MIN(L18:L22),"")</f>
        <v/>
      </c>
      <c r="M17" s="86" t="str">
        <f aca="false">IF(MAX(M18:M22)&gt;0,MAX(M18:M22),"")</f>
        <v/>
      </c>
      <c r="N17" s="87" t="e">
        <f aca="false">IF(OR(L17=0,M17=0),"",NETWORKDAYS(L17,M17))</f>
        <v>#VALUE!</v>
      </c>
      <c r="O17" s="88" t="n">
        <f aca="false">AVERAGE(O18:O22)</f>
        <v>0.65</v>
      </c>
      <c r="P17" s="54"/>
      <c r="Q17" s="55"/>
      <c r="R17" s="56"/>
      <c r="S17" s="57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8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</row>
    <row r="18" customFormat="false" ht="17.25" hidden="false" customHeight="true" outlineLevel="1" collapsed="false">
      <c r="A18" s="61" t="s">
        <v>29</v>
      </c>
      <c r="B18" s="62" t="s">
        <v>46</v>
      </c>
      <c r="C18" s="89" t="s">
        <v>47</v>
      </c>
      <c r="D18" s="89"/>
      <c r="E18" s="64" t="s">
        <v>41</v>
      </c>
      <c r="F18" s="65" t="s">
        <v>33</v>
      </c>
      <c r="G18" s="66" t="s">
        <v>34</v>
      </c>
      <c r="H18" s="67" t="s">
        <v>34</v>
      </c>
      <c r="I18" s="68"/>
      <c r="J18" s="69"/>
      <c r="K18" s="70"/>
      <c r="L18" s="71"/>
      <c r="M18" s="71"/>
      <c r="N18" s="72" t="str">
        <f aca="false">IF(OR(L18=0,M18=0),"",NETWORKDAYS(L18,M18))</f>
        <v/>
      </c>
      <c r="O18" s="73" t="n">
        <v>0.65</v>
      </c>
      <c r="P18" s="90" t="s">
        <v>48</v>
      </c>
      <c r="Q18" s="91"/>
      <c r="R18" s="76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8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</row>
    <row r="19" customFormat="false" ht="17.25" hidden="false" customHeight="true" outlineLevel="1" collapsed="false">
      <c r="A19" s="30" t="s">
        <v>29</v>
      </c>
      <c r="B19" s="62" t="s">
        <v>49</v>
      </c>
      <c r="C19" s="89" t="s">
        <v>50</v>
      </c>
      <c r="D19" s="89"/>
      <c r="E19" s="64" t="s">
        <v>33</v>
      </c>
      <c r="F19" s="65" t="s">
        <v>41</v>
      </c>
      <c r="G19" s="66" t="s">
        <v>34</v>
      </c>
      <c r="H19" s="67" t="s">
        <v>34</v>
      </c>
      <c r="I19" s="68"/>
      <c r="J19" s="92"/>
      <c r="K19" s="92"/>
      <c r="L19" s="71"/>
      <c r="M19" s="71"/>
      <c r="N19" s="72" t="str">
        <f aca="false">IF(OR(L19=0,M19=0),"",NETWORKDAYS(L19,M19))</f>
        <v/>
      </c>
      <c r="O19" s="73" t="n">
        <v>0.65</v>
      </c>
      <c r="P19" s="90" t="s">
        <v>48</v>
      </c>
      <c r="Q19" s="91"/>
      <c r="R19" s="76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8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9"/>
    </row>
    <row r="20" customFormat="false" ht="17.25" hidden="false" customHeight="true" outlineLevel="1" collapsed="false">
      <c r="A20" s="30" t="s">
        <v>29</v>
      </c>
      <c r="B20" s="62" t="s">
        <v>51</v>
      </c>
      <c r="C20" s="89" t="s">
        <v>52</v>
      </c>
      <c r="D20" s="89"/>
      <c r="E20" s="64" t="s">
        <v>41</v>
      </c>
      <c r="F20" s="65" t="s">
        <v>33</v>
      </c>
      <c r="G20" s="66" t="s">
        <v>34</v>
      </c>
      <c r="H20" s="67" t="s">
        <v>34</v>
      </c>
      <c r="I20" s="68"/>
      <c r="J20" s="69"/>
      <c r="K20" s="70"/>
      <c r="L20" s="71"/>
      <c r="M20" s="71"/>
      <c r="N20" s="72" t="str">
        <f aca="false">IF(OR(L20=0,M20=0),"",NETWORKDAYS(L20,M20))</f>
        <v/>
      </c>
      <c r="O20" s="73" t="n">
        <v>0.65</v>
      </c>
      <c r="P20" s="90" t="s">
        <v>48</v>
      </c>
      <c r="Q20" s="91"/>
      <c r="R20" s="76"/>
      <c r="S20" s="77"/>
      <c r="T20" s="77"/>
      <c r="U20" s="77"/>
      <c r="V20" s="77"/>
      <c r="W20" s="77"/>
      <c r="X20" s="79"/>
      <c r="Y20" s="77"/>
      <c r="Z20" s="77"/>
      <c r="AA20" s="77"/>
      <c r="AB20" s="77"/>
      <c r="AC20" s="77"/>
      <c r="AD20" s="77"/>
      <c r="AE20" s="77"/>
      <c r="AF20" s="77"/>
      <c r="AG20" s="78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79"/>
      <c r="CY20" s="79"/>
    </row>
    <row r="21" customFormat="false" ht="17.25" hidden="false" customHeight="true" outlineLevel="1" collapsed="false">
      <c r="A21" s="30" t="s">
        <v>29</v>
      </c>
      <c r="B21" s="62" t="s">
        <v>53</v>
      </c>
      <c r="C21" s="89" t="s">
        <v>54</v>
      </c>
      <c r="D21" s="89"/>
      <c r="E21" s="64" t="s">
        <v>33</v>
      </c>
      <c r="F21" s="65" t="s">
        <v>41</v>
      </c>
      <c r="G21" s="66" t="s">
        <v>34</v>
      </c>
      <c r="H21" s="67" t="s">
        <v>34</v>
      </c>
      <c r="I21" s="68"/>
      <c r="J21" s="69"/>
      <c r="K21" s="93"/>
      <c r="L21" s="71"/>
      <c r="M21" s="71"/>
      <c r="N21" s="72" t="str">
        <f aca="false">IF(OR(L21=0,M21=0),"",NETWORKDAYS(L21,M21))</f>
        <v/>
      </c>
      <c r="O21" s="73" t="n">
        <v>0.65</v>
      </c>
      <c r="P21" s="90" t="s">
        <v>48</v>
      </c>
      <c r="Q21" s="91"/>
      <c r="R21" s="76"/>
      <c r="S21" s="77"/>
      <c r="T21" s="77"/>
      <c r="U21" s="77"/>
      <c r="V21" s="77"/>
      <c r="W21" s="77"/>
      <c r="X21" s="79"/>
      <c r="Y21" s="77"/>
      <c r="Z21" s="77"/>
      <c r="AA21" s="77"/>
      <c r="AB21" s="77"/>
      <c r="AC21" s="77"/>
      <c r="AD21" s="77"/>
      <c r="AE21" s="77"/>
      <c r="AF21" s="77"/>
      <c r="AG21" s="78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  <c r="CX21" s="79"/>
      <c r="CY21" s="79"/>
    </row>
    <row r="22" customFormat="false" ht="17.25" hidden="false" customHeight="true" outlineLevel="1" collapsed="false">
      <c r="A22" s="30" t="s">
        <v>29</v>
      </c>
      <c r="B22" s="62" t="s">
        <v>55</v>
      </c>
      <c r="C22" s="89" t="s">
        <v>56</v>
      </c>
      <c r="D22" s="89"/>
      <c r="E22" s="64" t="s">
        <v>33</v>
      </c>
      <c r="F22" s="65" t="s">
        <v>38</v>
      </c>
      <c r="G22" s="66" t="s">
        <v>34</v>
      </c>
      <c r="H22" s="67" t="s">
        <v>34</v>
      </c>
      <c r="I22" s="68"/>
      <c r="J22" s="69"/>
      <c r="K22" s="70"/>
      <c r="L22" s="71"/>
      <c r="M22" s="71"/>
      <c r="N22" s="72" t="str">
        <f aca="false">IF(OR(L22=0,M22=0),"",NETWORKDAYS(L22,M22))</f>
        <v/>
      </c>
      <c r="O22" s="73" t="n">
        <v>0.65</v>
      </c>
      <c r="P22" s="90" t="s">
        <v>48</v>
      </c>
      <c r="Q22" s="91"/>
      <c r="R22" s="76"/>
      <c r="S22" s="77"/>
      <c r="T22" s="77"/>
      <c r="U22" s="77"/>
      <c r="V22" s="77"/>
      <c r="W22" s="77"/>
      <c r="X22" s="79"/>
      <c r="Y22" s="77"/>
      <c r="Z22" s="77"/>
      <c r="AA22" s="77"/>
      <c r="AB22" s="77"/>
      <c r="AC22" s="77"/>
      <c r="AD22" s="77"/>
      <c r="AE22" s="77"/>
      <c r="AF22" s="77"/>
      <c r="AG22" s="78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BX22" s="79"/>
      <c r="BY22" s="79"/>
      <c r="BZ22" s="79"/>
      <c r="CA22" s="79"/>
      <c r="CB22" s="79"/>
      <c r="CC22" s="79"/>
      <c r="CD22" s="79"/>
      <c r="CE22" s="79"/>
      <c r="CF22" s="79"/>
      <c r="CG22" s="79"/>
      <c r="CH22" s="79"/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/>
      <c r="CW22" s="79"/>
      <c r="CX22" s="79"/>
      <c r="CY22" s="79"/>
    </row>
    <row r="23" customFormat="false" ht="17.25" hidden="false" customHeight="true" outlineLevel="1" collapsed="false">
      <c r="A23" s="61" t="s">
        <v>29</v>
      </c>
      <c r="B23" s="62" t="s">
        <v>43</v>
      </c>
      <c r="C23" s="80" t="s">
        <v>44</v>
      </c>
      <c r="D23" s="80"/>
      <c r="E23" s="64" t="s">
        <v>57</v>
      </c>
      <c r="F23" s="65" t="s">
        <v>32</v>
      </c>
      <c r="G23" s="66" t="s">
        <v>34</v>
      </c>
      <c r="H23" s="67" t="s">
        <v>34</v>
      </c>
      <c r="I23" s="68"/>
      <c r="J23" s="69"/>
      <c r="K23" s="70"/>
      <c r="L23" s="71"/>
      <c r="M23" s="71"/>
      <c r="N23" s="72"/>
      <c r="O23" s="73"/>
      <c r="P23" s="90" t="s">
        <v>58</v>
      </c>
      <c r="Q23" s="75"/>
      <c r="R23" s="76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8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  <c r="BZ23" s="79"/>
      <c r="CA23" s="79"/>
      <c r="CB23" s="79"/>
      <c r="CC23" s="79"/>
      <c r="CD23" s="79"/>
      <c r="CE23" s="79"/>
      <c r="CF23" s="79"/>
      <c r="CG23" s="79"/>
      <c r="CH23" s="79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79"/>
      <c r="CV23" s="79"/>
      <c r="CW23" s="79"/>
      <c r="CX23" s="79"/>
      <c r="CY23" s="79"/>
    </row>
    <row r="24" customFormat="false" ht="17.25" hidden="false" customHeight="true" outlineLevel="1" collapsed="false">
      <c r="A24" s="81"/>
      <c r="B24" s="94" t="n">
        <v>3</v>
      </c>
      <c r="C24" s="95" t="s">
        <v>59</v>
      </c>
      <c r="D24" s="95"/>
      <c r="E24" s="96"/>
      <c r="F24" s="96"/>
      <c r="G24" s="96"/>
      <c r="H24" s="96"/>
      <c r="I24" s="97"/>
      <c r="J24" s="96"/>
      <c r="K24" s="97"/>
      <c r="L24" s="86" t="str">
        <f aca="false">IF(MIN(L25:L27)&gt;0,MIN(L25:L27),"")</f>
        <v/>
      </c>
      <c r="M24" s="86" t="str">
        <f aca="false">IF(MAX(M25:M27)&gt;0,MAX(M25:M27),"")</f>
        <v/>
      </c>
      <c r="N24" s="87" t="e">
        <f aca="false">IF(OR(L24=0,M24=0),"",NETWORKDAYS(L24,M24))</f>
        <v>#VALUE!</v>
      </c>
      <c r="O24" s="98" t="n">
        <f aca="false">AVERAGE(O25)</f>
        <v>1</v>
      </c>
      <c r="P24" s="99"/>
      <c r="Q24" s="75"/>
      <c r="R24" s="76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8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  <c r="BZ24" s="79"/>
      <c r="CA24" s="79"/>
      <c r="CB24" s="79"/>
      <c r="CC24" s="79"/>
      <c r="CD24" s="79"/>
      <c r="CE24" s="79"/>
      <c r="CF24" s="79"/>
      <c r="CG24" s="79"/>
      <c r="CH24" s="79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  <c r="CX24" s="79"/>
      <c r="CY24" s="79"/>
    </row>
    <row r="25" customFormat="false" ht="17.25" hidden="false" customHeight="true" outlineLevel="1" collapsed="false">
      <c r="A25" s="30"/>
      <c r="B25" s="62" t="s">
        <v>60</v>
      </c>
      <c r="C25" s="80" t="s">
        <v>61</v>
      </c>
      <c r="D25" s="80"/>
      <c r="E25" s="64" t="s">
        <v>38</v>
      </c>
      <c r="F25" s="65" t="s">
        <v>33</v>
      </c>
      <c r="G25" s="66" t="s">
        <v>34</v>
      </c>
      <c r="H25" s="67" t="s">
        <v>34</v>
      </c>
      <c r="I25" s="68"/>
      <c r="J25" s="92"/>
      <c r="K25" s="92"/>
      <c r="L25" s="71"/>
      <c r="M25" s="71"/>
      <c r="N25" s="72" t="str">
        <f aca="false">IF(OR(L25=0,M25=0),"",NETWORKDAYS(L25,M25))</f>
        <v/>
      </c>
      <c r="O25" s="73" t="n">
        <v>1</v>
      </c>
      <c r="P25" s="74" t="s">
        <v>35</v>
      </c>
      <c r="Q25" s="91"/>
      <c r="R25" s="76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8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79"/>
      <c r="BV25" s="79"/>
      <c r="BW25" s="79"/>
      <c r="BX25" s="79"/>
      <c r="BY25" s="79"/>
      <c r="BZ25" s="79"/>
      <c r="CA25" s="79"/>
      <c r="CB25" s="79"/>
      <c r="CC25" s="79"/>
      <c r="CD25" s="79"/>
      <c r="CE25" s="79"/>
      <c r="CF25" s="79"/>
      <c r="CG25" s="79"/>
      <c r="CH25" s="79"/>
      <c r="CI25" s="79"/>
      <c r="CJ25" s="79"/>
      <c r="CK25" s="79"/>
      <c r="CL25" s="79"/>
      <c r="CM25" s="79"/>
      <c r="CN25" s="79"/>
      <c r="CO25" s="79"/>
      <c r="CP25" s="79"/>
      <c r="CQ25" s="79"/>
      <c r="CR25" s="79"/>
      <c r="CS25" s="79"/>
      <c r="CT25" s="79"/>
      <c r="CU25" s="79"/>
      <c r="CV25" s="79"/>
      <c r="CW25" s="79"/>
      <c r="CX25" s="79"/>
      <c r="CY25" s="79"/>
    </row>
    <row r="26" customFormat="false" ht="17.25" hidden="false" customHeight="true" outlineLevel="1" collapsed="false">
      <c r="A26" s="30" t="s">
        <v>29</v>
      </c>
      <c r="B26" s="62" t="s">
        <v>62</v>
      </c>
      <c r="C26" s="80" t="s">
        <v>37</v>
      </c>
      <c r="D26" s="80"/>
      <c r="E26" s="64" t="s">
        <v>38</v>
      </c>
      <c r="F26" s="65" t="s">
        <v>32</v>
      </c>
      <c r="G26" s="66" t="s">
        <v>34</v>
      </c>
      <c r="H26" s="67" t="s">
        <v>34</v>
      </c>
      <c r="I26" s="68"/>
      <c r="J26" s="92"/>
      <c r="K26" s="92"/>
      <c r="L26" s="71"/>
      <c r="M26" s="71"/>
      <c r="N26" s="72" t="str">
        <f aca="false">IF(OR(L26=0,M26=0),"",NETWORKDAYS(L26,M26))</f>
        <v/>
      </c>
      <c r="O26" s="73" t="n">
        <v>1</v>
      </c>
      <c r="P26" s="74" t="s">
        <v>35</v>
      </c>
      <c r="Q26" s="91"/>
      <c r="R26" s="76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8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  <c r="CQ26" s="79"/>
      <c r="CR26" s="79"/>
      <c r="CS26" s="79"/>
      <c r="CT26" s="79"/>
      <c r="CU26" s="79"/>
      <c r="CV26" s="79"/>
      <c r="CW26" s="79"/>
      <c r="CX26" s="79"/>
      <c r="CY26" s="79"/>
    </row>
    <row r="27" customFormat="false" ht="17.25" hidden="false" customHeight="true" outlineLevel="1" collapsed="false">
      <c r="A27" s="30" t="s">
        <v>29</v>
      </c>
      <c r="B27" s="62" t="s">
        <v>63</v>
      </c>
      <c r="C27" s="80" t="s">
        <v>64</v>
      </c>
      <c r="D27" s="80"/>
      <c r="E27" s="64" t="s">
        <v>38</v>
      </c>
      <c r="F27" s="65" t="s">
        <v>38</v>
      </c>
      <c r="G27" s="66" t="s">
        <v>34</v>
      </c>
      <c r="H27" s="67" t="s">
        <v>34</v>
      </c>
      <c r="I27" s="68"/>
      <c r="J27" s="92"/>
      <c r="K27" s="92"/>
      <c r="L27" s="71"/>
      <c r="M27" s="71"/>
      <c r="N27" s="72" t="str">
        <f aca="false">IF(OR(L27=0,M27=0),"",NETWORKDAYS(L27,M27))</f>
        <v/>
      </c>
      <c r="O27" s="73" t="n">
        <v>1</v>
      </c>
      <c r="P27" s="74" t="s">
        <v>35</v>
      </c>
      <c r="Q27" s="91"/>
      <c r="R27" s="76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8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79"/>
      <c r="CF27" s="79"/>
      <c r="CG27" s="79"/>
      <c r="CH27" s="79"/>
      <c r="CI27" s="79"/>
      <c r="CJ27" s="79"/>
      <c r="CK27" s="79"/>
      <c r="CL27" s="79"/>
      <c r="CM27" s="79"/>
      <c r="CN27" s="79"/>
      <c r="CO27" s="79"/>
      <c r="CP27" s="79"/>
      <c r="CQ27" s="79"/>
      <c r="CR27" s="79"/>
      <c r="CS27" s="79"/>
      <c r="CT27" s="79"/>
      <c r="CU27" s="79"/>
      <c r="CV27" s="79"/>
      <c r="CW27" s="79"/>
      <c r="CX27" s="79"/>
      <c r="CY27" s="79"/>
    </row>
    <row r="28" customFormat="false" ht="17.25" hidden="false" customHeight="true" outlineLevel="1" collapsed="false">
      <c r="A28" s="61" t="s">
        <v>29</v>
      </c>
      <c r="B28" s="62" t="s">
        <v>43</v>
      </c>
      <c r="C28" s="80" t="s">
        <v>44</v>
      </c>
      <c r="D28" s="80"/>
      <c r="E28" s="64" t="s">
        <v>38</v>
      </c>
      <c r="F28" s="65" t="s">
        <v>32</v>
      </c>
      <c r="G28" s="66" t="s">
        <v>34</v>
      </c>
      <c r="H28" s="67" t="s">
        <v>34</v>
      </c>
      <c r="I28" s="68"/>
      <c r="J28" s="69"/>
      <c r="K28" s="70"/>
      <c r="L28" s="71"/>
      <c r="M28" s="71"/>
      <c r="N28" s="72"/>
      <c r="O28" s="73" t="n">
        <v>1</v>
      </c>
      <c r="P28" s="74" t="s">
        <v>35</v>
      </c>
      <c r="Q28" s="75"/>
      <c r="R28" s="76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8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79"/>
      <c r="BP28" s="79"/>
      <c r="BQ28" s="79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/>
      <c r="CN28" s="79"/>
      <c r="CO28" s="79"/>
      <c r="CP28" s="79"/>
      <c r="CQ28" s="79"/>
      <c r="CR28" s="79"/>
      <c r="CS28" s="79"/>
      <c r="CT28" s="79"/>
      <c r="CU28" s="79"/>
      <c r="CV28" s="79"/>
      <c r="CW28" s="79"/>
      <c r="CX28" s="79"/>
      <c r="CY28" s="79"/>
    </row>
    <row r="29" customFormat="false" ht="17.25" hidden="false" customHeight="true" outlineLevel="1" collapsed="false">
      <c r="A29" s="81"/>
      <c r="B29" s="94" t="s">
        <v>65</v>
      </c>
      <c r="C29" s="95" t="s">
        <v>66</v>
      </c>
      <c r="D29" s="95"/>
      <c r="E29" s="96"/>
      <c r="F29" s="96"/>
      <c r="G29" s="96"/>
      <c r="H29" s="96"/>
      <c r="I29" s="97"/>
      <c r="J29" s="97"/>
      <c r="K29" s="85"/>
      <c r="L29" s="86"/>
      <c r="M29" s="86"/>
      <c r="N29" s="87" t="e">
        <f aca="false">#VALUE!</f>
        <v>#VALUE!</v>
      </c>
      <c r="O29" s="99" t="n">
        <f aca="false">AVERAGE(O30:O32)</f>
        <v>1</v>
      </c>
      <c r="P29" s="99"/>
      <c r="Q29" s="75"/>
      <c r="R29" s="76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8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79"/>
      <c r="CR29" s="79"/>
      <c r="CS29" s="79"/>
      <c r="CT29" s="79"/>
      <c r="CU29" s="79"/>
      <c r="CV29" s="79"/>
      <c r="CW29" s="79"/>
      <c r="CX29" s="79"/>
      <c r="CY29" s="79"/>
    </row>
    <row r="30" customFormat="false" ht="17.25" hidden="false" customHeight="true" outlineLevel="1" collapsed="false">
      <c r="A30" s="30" t="s">
        <v>29</v>
      </c>
      <c r="B30" s="62" t="s">
        <v>67</v>
      </c>
      <c r="C30" s="100" t="s">
        <v>68</v>
      </c>
      <c r="D30" s="100"/>
      <c r="E30" s="64" t="s">
        <v>32</v>
      </c>
      <c r="F30" s="65" t="s">
        <v>38</v>
      </c>
      <c r="G30" s="66" t="s">
        <v>34</v>
      </c>
      <c r="H30" s="67" t="s">
        <v>34</v>
      </c>
      <c r="I30" s="68"/>
      <c r="J30" s="69"/>
      <c r="K30" s="101"/>
      <c r="L30" s="71"/>
      <c r="M30" s="71"/>
      <c r="N30" s="72" t="str">
        <f aca="false">IF(OR(L30=0,M30=0),"",NETWORKDAYS(L30,M30))</f>
        <v/>
      </c>
      <c r="O30" s="73" t="n">
        <v>1</v>
      </c>
      <c r="P30" s="74" t="s">
        <v>35</v>
      </c>
      <c r="Q30" s="91"/>
      <c r="R30" s="76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8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</row>
    <row r="31" customFormat="false" ht="17.25" hidden="false" customHeight="true" outlineLevel="1" collapsed="false">
      <c r="A31" s="30" t="s">
        <v>29</v>
      </c>
      <c r="B31" s="62" t="s">
        <v>69</v>
      </c>
      <c r="C31" s="100" t="s">
        <v>70</v>
      </c>
      <c r="D31" s="100"/>
      <c r="E31" s="64" t="s">
        <v>41</v>
      </c>
      <c r="F31" s="65" t="s">
        <v>32</v>
      </c>
      <c r="G31" s="66" t="s">
        <v>34</v>
      </c>
      <c r="H31" s="67" t="s">
        <v>34</v>
      </c>
      <c r="I31" s="68"/>
      <c r="J31" s="69"/>
      <c r="K31" s="101"/>
      <c r="L31" s="71"/>
      <c r="M31" s="71"/>
      <c r="N31" s="72" t="str">
        <f aca="false">IF(OR(L31=0,M31=0),"",NETWORKDAYS(L31,M31))</f>
        <v/>
      </c>
      <c r="O31" s="73" t="n">
        <v>1</v>
      </c>
      <c r="P31" s="74" t="s">
        <v>35</v>
      </c>
      <c r="Q31" s="91"/>
      <c r="R31" s="76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8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  <c r="CD31" s="79"/>
      <c r="CE31" s="79"/>
      <c r="CF31" s="79"/>
      <c r="CG31" s="79"/>
      <c r="CH31" s="79"/>
      <c r="CI31" s="79"/>
      <c r="CJ31" s="79"/>
      <c r="CK31" s="79"/>
      <c r="CL31" s="79"/>
      <c r="CM31" s="79"/>
      <c r="CN31" s="79"/>
      <c r="CO31" s="79"/>
      <c r="CP31" s="79"/>
      <c r="CQ31" s="79"/>
      <c r="CR31" s="79"/>
      <c r="CS31" s="79"/>
      <c r="CT31" s="79"/>
      <c r="CU31" s="79"/>
      <c r="CV31" s="79"/>
      <c r="CW31" s="79"/>
      <c r="CX31" s="79"/>
      <c r="CY31" s="79"/>
    </row>
    <row r="32" customFormat="false" ht="17.25" hidden="false" customHeight="true" outlineLevel="1" collapsed="false">
      <c r="A32" s="30" t="s">
        <v>29</v>
      </c>
      <c r="B32" s="62" t="s">
        <v>71</v>
      </c>
      <c r="C32" s="100" t="s">
        <v>72</v>
      </c>
      <c r="D32" s="100"/>
      <c r="E32" s="64" t="s">
        <v>41</v>
      </c>
      <c r="F32" s="65" t="s">
        <v>32</v>
      </c>
      <c r="G32" s="66" t="s">
        <v>34</v>
      </c>
      <c r="H32" s="67" t="s">
        <v>34</v>
      </c>
      <c r="I32" s="68"/>
      <c r="J32" s="69"/>
      <c r="K32" s="101"/>
      <c r="L32" s="71"/>
      <c r="M32" s="71"/>
      <c r="N32" s="72" t="str">
        <f aca="false">IF(OR(L32=0,M32=0),"",NETWORKDAYS(L32,M32))</f>
        <v/>
      </c>
      <c r="O32" s="73" t="n">
        <v>1</v>
      </c>
      <c r="P32" s="74" t="s">
        <v>35</v>
      </c>
      <c r="Q32" s="91"/>
      <c r="R32" s="76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8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  <c r="CD32" s="79"/>
      <c r="CE32" s="79"/>
      <c r="CF32" s="79"/>
      <c r="CG32" s="79"/>
      <c r="CH32" s="79"/>
      <c r="CI32" s="79"/>
      <c r="CJ32" s="79"/>
      <c r="CK32" s="79"/>
      <c r="CL32" s="79"/>
      <c r="CM32" s="79"/>
      <c r="CN32" s="79"/>
      <c r="CO32" s="79"/>
      <c r="CP32" s="79"/>
      <c r="CQ32" s="79"/>
      <c r="CR32" s="79"/>
      <c r="CS32" s="79"/>
      <c r="CT32" s="79"/>
      <c r="CU32" s="79"/>
      <c r="CV32" s="79"/>
      <c r="CW32" s="79"/>
      <c r="CX32" s="79"/>
      <c r="CY32" s="79"/>
    </row>
    <row r="33" customFormat="false" ht="17.25" hidden="false" customHeight="true" outlineLevel="1" collapsed="false">
      <c r="A33" s="81"/>
      <c r="B33" s="94" t="s">
        <v>73</v>
      </c>
      <c r="C33" s="95" t="s">
        <v>74</v>
      </c>
      <c r="D33" s="95"/>
      <c r="E33" s="96"/>
      <c r="F33" s="96"/>
      <c r="G33" s="96"/>
      <c r="H33" s="96"/>
      <c r="I33" s="97"/>
      <c r="J33" s="97"/>
      <c r="K33" s="85"/>
      <c r="L33" s="86"/>
      <c r="M33" s="86"/>
      <c r="N33" s="87" t="e">
        <f aca="false">#VALUE!</f>
        <v>#VALUE!</v>
      </c>
      <c r="O33" s="99" t="n">
        <f aca="false">AVERAGE(O34:O36)</f>
        <v>0.333333333333333</v>
      </c>
      <c r="P33" s="99"/>
      <c r="Q33" s="102"/>
      <c r="R33" s="103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5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  <c r="CF33" s="106"/>
      <c r="CG33" s="106"/>
      <c r="CH33" s="106"/>
      <c r="CI33" s="106"/>
      <c r="CJ33" s="106"/>
      <c r="CK33" s="106"/>
      <c r="CL33" s="106"/>
      <c r="CM33" s="106"/>
      <c r="CN33" s="106"/>
      <c r="CO33" s="106"/>
      <c r="CP33" s="106"/>
      <c r="CQ33" s="106"/>
      <c r="CR33" s="106"/>
      <c r="CS33" s="106"/>
      <c r="CT33" s="106"/>
      <c r="CU33" s="106"/>
      <c r="CV33" s="106"/>
      <c r="CW33" s="106"/>
      <c r="CX33" s="106"/>
      <c r="CY33" s="106"/>
    </row>
    <row r="34" customFormat="false" ht="15.75" hidden="false" customHeight="true" outlineLevel="0" collapsed="false">
      <c r="A34" s="30" t="s">
        <v>29</v>
      </c>
      <c r="B34" s="62" t="s">
        <v>67</v>
      </c>
      <c r="C34" s="100" t="s">
        <v>32</v>
      </c>
      <c r="D34" s="100"/>
      <c r="E34" s="64" t="s">
        <v>32</v>
      </c>
      <c r="F34" s="65" t="s">
        <v>32</v>
      </c>
      <c r="G34" s="66" t="s">
        <v>34</v>
      </c>
      <c r="H34" s="67" t="s">
        <v>34</v>
      </c>
      <c r="I34" s="68"/>
      <c r="J34" s="69"/>
      <c r="K34" s="101"/>
      <c r="L34" s="71"/>
      <c r="M34" s="71"/>
      <c r="N34" s="72" t="str">
        <f aca="false">IF(OR(L34=0,M34=0),"",NETWORKDAYS(L34,M34))</f>
        <v/>
      </c>
      <c r="O34" s="73" t="n">
        <v>1</v>
      </c>
      <c r="P34" s="74" t="s">
        <v>35</v>
      </c>
    </row>
    <row r="35" customFormat="false" ht="15.75" hidden="false" customHeight="true" outlineLevel="0" collapsed="false">
      <c r="A35" s="30" t="s">
        <v>29</v>
      </c>
      <c r="B35" s="62" t="s">
        <v>69</v>
      </c>
      <c r="C35" s="100" t="s">
        <v>41</v>
      </c>
      <c r="D35" s="100"/>
      <c r="E35" s="64" t="s">
        <v>41</v>
      </c>
      <c r="F35" s="65" t="s">
        <v>32</v>
      </c>
      <c r="G35" s="66" t="s">
        <v>34</v>
      </c>
      <c r="H35" s="67" t="s">
        <v>34</v>
      </c>
      <c r="I35" s="68"/>
      <c r="J35" s="69"/>
      <c r="K35" s="101"/>
      <c r="L35" s="71"/>
      <c r="M35" s="71"/>
      <c r="N35" s="72" t="str">
        <f aca="false">IF(OR(L35=0,M35=0),"",NETWORKDAYS(L35,M35))</f>
        <v/>
      </c>
      <c r="O35" s="73" t="n">
        <v>0</v>
      </c>
      <c r="P35" s="90" t="s">
        <v>58</v>
      </c>
    </row>
    <row r="36" customFormat="false" ht="15.75" hidden="false" customHeight="true" outlineLevel="0" collapsed="false">
      <c r="A36" s="30" t="s">
        <v>29</v>
      </c>
      <c r="B36" s="62" t="s">
        <v>71</v>
      </c>
      <c r="C36" s="100" t="s">
        <v>33</v>
      </c>
      <c r="D36" s="100"/>
      <c r="E36" s="64" t="s">
        <v>33</v>
      </c>
      <c r="F36" s="65" t="s">
        <v>32</v>
      </c>
      <c r="G36" s="66" t="s">
        <v>34</v>
      </c>
      <c r="H36" s="67" t="s">
        <v>34</v>
      </c>
      <c r="I36" s="68"/>
      <c r="J36" s="69"/>
      <c r="K36" s="101"/>
      <c r="L36" s="71"/>
      <c r="M36" s="71"/>
      <c r="N36" s="72" t="str">
        <f aca="false">IF(OR(L36=0,M36=0),"",NETWORKDAYS(L36,M36))</f>
        <v/>
      </c>
      <c r="O36" s="73" t="n">
        <v>0</v>
      </c>
      <c r="P36" s="90" t="s">
        <v>58</v>
      </c>
    </row>
    <row r="37" customFormat="false" ht="15.75" hidden="false" customHeight="true" outlineLevel="0" collapsed="false">
      <c r="A37" s="30" t="s">
        <v>29</v>
      </c>
      <c r="B37" s="62" t="s">
        <v>71</v>
      </c>
      <c r="C37" s="100" t="s">
        <v>38</v>
      </c>
      <c r="D37" s="100"/>
      <c r="E37" s="64" t="s">
        <v>38</v>
      </c>
      <c r="F37" s="65" t="s">
        <v>32</v>
      </c>
      <c r="G37" s="66" t="s">
        <v>34</v>
      </c>
      <c r="H37" s="67" t="s">
        <v>34</v>
      </c>
      <c r="I37" s="68"/>
      <c r="J37" s="69"/>
      <c r="K37" s="101"/>
      <c r="L37" s="71"/>
      <c r="M37" s="71"/>
      <c r="N37" s="72" t="str">
        <f aca="false">IF(OR(L37=0,M37=0),"",NETWORKDAYS(L37,M37))</f>
        <v/>
      </c>
      <c r="O37" s="73" t="n">
        <v>1</v>
      </c>
      <c r="P37" s="74" t="s">
        <v>35</v>
      </c>
    </row>
    <row r="38" customFormat="false" ht="12.8" hidden="false" customHeight="false" outlineLevel="0" collapsed="false">
      <c r="O38" s="107"/>
      <c r="P38" s="0"/>
    </row>
    <row r="39" customFormat="false" ht="12.8" hidden="false" customHeight="false" outlineLevel="0" collapsed="false">
      <c r="P39" s="0"/>
    </row>
    <row r="40" customFormat="false" ht="12.8" hidden="false" customHeight="false" outlineLevel="0" collapsed="false">
      <c r="P40" s="0"/>
    </row>
    <row r="41" customFormat="false" ht="12.8" hidden="false" customHeight="false" outlineLevel="0" collapsed="false">
      <c r="P41" s="74" t="s">
        <v>35</v>
      </c>
    </row>
    <row r="42" customFormat="false" ht="12.8" hidden="false" customHeight="false" outlineLevel="0" collapsed="false">
      <c r="P42" s="90" t="s">
        <v>48</v>
      </c>
    </row>
    <row r="43" customFormat="false" ht="12.8" hidden="false" customHeight="false" outlineLevel="0" collapsed="false">
      <c r="P43" s="90" t="s">
        <v>58</v>
      </c>
    </row>
  </sheetData>
  <autoFilter ref="B8:P32"/>
  <mergeCells count="58">
    <mergeCell ref="B1:O1"/>
    <mergeCell ref="Q1:U1"/>
    <mergeCell ref="V1:AF1"/>
    <mergeCell ref="B3:D3"/>
    <mergeCell ref="E3:H3"/>
    <mergeCell ref="Q3:V3"/>
    <mergeCell ref="W3:AF3"/>
    <mergeCell ref="B4:D4"/>
    <mergeCell ref="E4:H4"/>
    <mergeCell ref="Q4:V4"/>
    <mergeCell ref="W4:AF4"/>
    <mergeCell ref="B5:D5"/>
    <mergeCell ref="Q5:W5"/>
    <mergeCell ref="B6:D6"/>
    <mergeCell ref="E6:H6"/>
    <mergeCell ref="R6:U6"/>
    <mergeCell ref="V6:W6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</mergeCells>
  <conditionalFormatting sqref="O11:P12 O24:P24 O17:P17 O15 O18">
    <cfRule type="dataBar" priority="2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{C7D9FF5F-8C11-4710-8524-30DE7A238580}</x14:id>
        </ext>
      </extLst>
    </cfRule>
  </conditionalFormatting>
  <conditionalFormatting sqref="P23">
    <cfRule type="cellIs" priority="3" operator="equal" aboveAverage="0" equalAverage="0" bottom="0" percent="0" rank="0" text="" dxfId="14">
      <formula>"Terminée"</formula>
    </cfRule>
    <cfRule type="cellIs" priority="4" operator="equal" aboveAverage="0" equalAverage="0" bottom="0" percent="0" rank="0" text="" dxfId="15">
      <formula>"En cours"</formula>
    </cfRule>
    <cfRule type="cellIs" priority="5" operator="equal" aboveAverage="0" equalAverage="0" bottom="0" percent="0" rank="0" text="" dxfId="16">
      <formula>"Bloquée"</formula>
    </cfRule>
  </conditionalFormatting>
  <conditionalFormatting sqref="CY29:CY33 Q12:CY28 CX29:CX33 Q29:CW33">
    <cfRule type="expression" priority="6" aboveAverage="0" equalAverage="0" bottom="0" percent="0" rank="0" text="" dxfId="17">
      <formula>AND($O12&gt;5%, $L12&lt;=Q$10,ROUNDDOWN(NETWORKDAYS($L12,$M12)*$O12,0)+$L12&gt;=Q$10)</formula>
    </cfRule>
    <cfRule type="expression" priority="7" aboveAverage="0" equalAverage="0" bottom="0" percent="0" rank="0" text="" dxfId="18">
      <formula>AND(NOT(ISBLANK($L12)),$L12&lt;Q$10,M$12&gt;=Q$10)</formula>
    </cfRule>
  </conditionalFormatting>
  <conditionalFormatting sqref="P18:P22 P43">
    <cfRule type="cellIs" priority="8" operator="equal" aboveAverage="0" equalAverage="0" bottom="0" percent="0" rank="0" text="" dxfId="19">
      <formula>"Terminée"</formula>
    </cfRule>
    <cfRule type="cellIs" priority="9" operator="equal" aboveAverage="0" equalAverage="0" bottom="0" percent="0" rank="0" text="" dxfId="20">
      <formula>"En cours"</formula>
    </cfRule>
    <cfRule type="cellIs" priority="10" operator="equal" aboveAverage="0" equalAverage="0" bottom="0" percent="0" rank="0" text="" dxfId="21">
      <formula>"Bloquée"</formula>
    </cfRule>
  </conditionalFormatting>
  <conditionalFormatting sqref="P13:P16 P43 P41 P25:P28 P30:P32 P34 P37">
    <cfRule type="cellIs" priority="11" operator="equal" aboveAverage="0" equalAverage="0" bottom="0" percent="0" rank="0" text="" dxfId="22">
      <formula>"Terminée"</formula>
    </cfRule>
    <cfRule type="cellIs" priority="12" operator="equal" aboveAverage="0" equalAverage="0" bottom="0" percent="0" rank="0" text="" dxfId="23">
      <formula>"En cours"</formula>
    </cfRule>
    <cfRule type="cellIs" priority="13" operator="equal" aboveAverage="0" equalAverage="0" bottom="0" percent="0" rank="0" text="" dxfId="24">
      <formula>"Bloquée"</formula>
    </cfRule>
  </conditionalFormatting>
  <conditionalFormatting sqref="P36 P43">
    <cfRule type="cellIs" priority="14" operator="equal" aboveAverage="0" equalAverage="0" bottom="0" percent="0" rank="0" text="" dxfId="25">
      <formula>"Terminée"</formula>
    </cfRule>
    <cfRule type="cellIs" priority="15" operator="equal" aboveAverage="0" equalAverage="0" bottom="0" percent="0" rank="0" text="" dxfId="26">
      <formula>"En cours"</formula>
    </cfRule>
    <cfRule type="cellIs" priority="16" operator="equal" aboveAverage="0" equalAverage="0" bottom="0" percent="0" rank="0" text="" dxfId="27">
      <formula>"Bloquée"</formula>
    </cfRule>
  </conditionalFormatting>
  <conditionalFormatting sqref="P35">
    <cfRule type="cellIs" priority="17" operator="equal" aboveAverage="0" equalAverage="0" bottom="0" percent="0" rank="0" text="" dxfId="28">
      <formula>"Terminée"</formula>
    </cfRule>
    <cfRule type="cellIs" priority="18" operator="equal" aboveAverage="0" equalAverage="0" bottom="0" percent="0" rank="0" text="" dxfId="29">
      <formula>"En cours"</formula>
    </cfRule>
    <cfRule type="cellIs" priority="19" operator="equal" aboveAverage="0" equalAverage="0" bottom="0" percent="0" rank="0" text="" dxfId="30">
      <formula>"Bloquée"</formula>
    </cfRule>
  </conditionalFormatting>
  <conditionalFormatting sqref="P15">
    <cfRule type="dataBar" priority="20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{E2F9E156-C7B4-4FC5-9488-FE4F7E815383}</x14:id>
        </ext>
      </extLst>
    </cfRule>
  </conditionalFormatting>
  <conditionalFormatting sqref="P18">
    <cfRule type="dataBar" priority="21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{9080DFEE-A85A-42CA-9A41-10FEBEDAB095}</x14:id>
        </ext>
      </extLst>
    </cfRule>
    <cfRule type="dataBar" priority="22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{EAC48B9F-57E9-48A4-8836-1E2EC3CB5050}</x14:id>
        </ext>
      </extLst>
    </cfRule>
  </conditionalFormatting>
  <conditionalFormatting sqref="P19">
    <cfRule type="dataBar" priority="23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{B2EFC616-58E0-4660-815F-B7AB6ABFD4DE}</x14:id>
        </ext>
      </extLst>
    </cfRule>
    <cfRule type="dataBar" priority="24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{4A3EFEFD-A0A7-477B-8F40-3320238A9B40}</x14:id>
        </ext>
      </extLst>
    </cfRule>
  </conditionalFormatting>
  <conditionalFormatting sqref="O39:O40">
    <cfRule type="dataBar" priority="25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{9AA5B26A-E057-46D1-B853-2346C0ED4B6F}</x14:id>
        </ext>
      </extLst>
    </cfRule>
  </conditionalFormatting>
  <conditionalFormatting sqref="O35:O36">
    <cfRule type="dataBar" priority="26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{B74E6EC5-2ABC-49E8-87D8-CC32163C2D61}</x14:id>
        </ext>
      </extLst>
    </cfRule>
  </conditionalFormatting>
  <conditionalFormatting sqref="P36">
    <cfRule type="dataBar" priority="27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{3CB17CF6-F53B-456E-8063-995D6244D89A}</x14:id>
        </ext>
      </extLst>
    </cfRule>
  </conditionalFormatting>
  <conditionalFormatting sqref="P35">
    <cfRule type="dataBar" priority="28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{F7963FB1-4223-4D90-8D3F-A3D0679D9F1E}</x14:id>
        </ext>
      </extLst>
    </cfRule>
  </conditionalFormatting>
  <conditionalFormatting sqref="P43">
    <cfRule type="dataBar" priority="29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{6BFB3E26-B720-4CDC-99E9-19AB4095BBB0}</x14:id>
        </ext>
      </extLst>
    </cfRule>
    <cfRule type="dataBar" priority="30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{163F5EC0-4CC2-411C-B08A-AE6696BA565F}</x14:id>
        </ext>
      </extLst>
    </cfRule>
  </conditionalFormatting>
  <conditionalFormatting sqref="P43">
    <cfRule type="dataBar" priority="31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{95A2D2E5-5E90-48A4-83A5-6F44F057708C}</x14:id>
        </ext>
      </extLst>
    </cfRule>
  </conditionalFormatting>
  <conditionalFormatting sqref="P43">
    <cfRule type="cellIs" priority="32" operator="equal" aboveAverage="0" equalAverage="0" bottom="0" percent="0" rank="0" text="" dxfId="31">
      <formula>"Terminée"</formula>
    </cfRule>
    <cfRule type="cellIs" priority="33" operator="equal" aboveAverage="0" equalAverage="0" bottom="0" percent="0" rank="0" text="" dxfId="32">
      <formula>"En cours"</formula>
    </cfRule>
    <cfRule type="cellIs" priority="34" operator="equal" aboveAverage="0" equalAverage="0" bottom="0" percent="0" rank="0" text="" dxfId="33">
      <formula>"Bloquée"</formula>
    </cfRule>
  </conditionalFormatting>
  <conditionalFormatting sqref="P43">
    <cfRule type="dataBar" priority="35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{71E45572-74D4-4521-B459-FDA2F7F73AF9}</x14:id>
        </ext>
      </extLst>
    </cfRule>
  </conditionalFormatting>
  <conditionalFormatting sqref="P43">
    <cfRule type="dataBar" priority="36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{74406718-8260-4938-B4A0-F87499F125D5}</x14:id>
        </ext>
      </extLst>
    </cfRule>
  </conditionalFormatting>
  <conditionalFormatting sqref="P41">
    <cfRule type="dataBar" priority="37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{E0952566-9830-433E-B690-6070BEDCD0DC}</x14:id>
        </ext>
      </extLst>
    </cfRule>
  </conditionalFormatting>
  <conditionalFormatting sqref="O23">
    <cfRule type="dataBar" priority="38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{EFD14456-3156-4AF5-AEE3-ED4CC0EA2163}</x14:id>
        </ext>
      </extLst>
    </cfRule>
  </conditionalFormatting>
  <conditionalFormatting sqref="P23">
    <cfRule type="dataBar" priority="39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{68E35883-703A-4FB8-8BCD-D2A9404F55ED}</x14:id>
        </ext>
      </extLst>
    </cfRule>
  </conditionalFormatting>
  <conditionalFormatting sqref="P23">
    <cfRule type="dataBar" priority="40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{841FDA2F-94F1-4394-BAFD-BE60E01078FB}</x14:id>
        </ext>
      </extLst>
    </cfRule>
  </conditionalFormatting>
  <conditionalFormatting sqref="P23">
    <cfRule type="dataBar" priority="41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{BED94DED-8C9F-43B4-AEBC-A0F91793956C}</x14:id>
        </ext>
      </extLst>
    </cfRule>
  </conditionalFormatting>
  <conditionalFormatting sqref="O14">
    <cfRule type="dataBar" priority="42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{6DB6183B-332E-4EB9-A431-D783992EC700}</x14:id>
        </ext>
      </extLst>
    </cfRule>
  </conditionalFormatting>
  <conditionalFormatting sqref="O13">
    <cfRule type="dataBar" priority="43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{8B502DA1-6A24-489D-BFD1-62C09EC12D1D}</x14:id>
        </ext>
      </extLst>
    </cfRule>
  </conditionalFormatting>
  <conditionalFormatting sqref="P14">
    <cfRule type="dataBar" priority="44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{624FAF50-40E0-4E99-951F-3D5A22B08661}</x14:id>
        </ext>
      </extLst>
    </cfRule>
  </conditionalFormatting>
  <conditionalFormatting sqref="P13">
    <cfRule type="dataBar" priority="45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{AB7756AB-6761-4CF0-A2F0-47FDC5AC2659}</x14:id>
        </ext>
      </extLst>
    </cfRule>
  </conditionalFormatting>
  <conditionalFormatting sqref="O16">
    <cfRule type="dataBar" priority="46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{6D347038-11E9-4D1B-B42B-C83BC4A362C1}</x14:id>
        </ext>
      </extLst>
    </cfRule>
  </conditionalFormatting>
  <conditionalFormatting sqref="O25">
    <cfRule type="dataBar" priority="47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{61FCF349-948E-44A9-BEF7-CBDE474160FE}</x14:id>
        </ext>
      </extLst>
    </cfRule>
  </conditionalFormatting>
  <conditionalFormatting sqref="O26">
    <cfRule type="dataBar" priority="48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{1092B59F-A680-459A-9A19-F05BD016F096}</x14:id>
        </ext>
      </extLst>
    </cfRule>
  </conditionalFormatting>
  <conditionalFormatting sqref="O27">
    <cfRule type="dataBar" priority="49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{3BE2C38D-D46C-416A-86A0-38C55485F4A4}</x14:id>
        </ext>
      </extLst>
    </cfRule>
  </conditionalFormatting>
  <conditionalFormatting sqref="O28">
    <cfRule type="dataBar" priority="50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{835D2B11-A034-41E8-AA55-BE84AE6FAE6C}</x14:id>
        </ext>
      </extLst>
    </cfRule>
  </conditionalFormatting>
  <conditionalFormatting sqref="P16">
    <cfRule type="dataBar" priority="51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{226BEB5D-BF9B-4DEC-ACD4-2A979FE0D58C}</x14:id>
        </ext>
      </extLst>
    </cfRule>
  </conditionalFormatting>
  <conditionalFormatting sqref="P25">
    <cfRule type="dataBar" priority="52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{A2788288-4981-4E8A-9557-8785FFA68060}</x14:id>
        </ext>
      </extLst>
    </cfRule>
  </conditionalFormatting>
  <conditionalFormatting sqref="P26">
    <cfRule type="dataBar" priority="53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{902C45A4-293E-4847-BB51-F181671CDBB1}</x14:id>
        </ext>
      </extLst>
    </cfRule>
  </conditionalFormatting>
  <conditionalFormatting sqref="P27">
    <cfRule type="dataBar" priority="54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{D6D09DED-E158-46C0-97D0-99952678AC15}</x14:id>
        </ext>
      </extLst>
    </cfRule>
  </conditionalFormatting>
  <conditionalFormatting sqref="P28">
    <cfRule type="dataBar" priority="55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{155B1027-6AEF-48C0-A17A-6BFE1F4D2266}</x14:id>
        </ext>
      </extLst>
    </cfRule>
  </conditionalFormatting>
  <conditionalFormatting sqref="O30">
    <cfRule type="dataBar" priority="56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{38A9F535-4F61-46A1-B82F-8B566EC0C79E}</x14:id>
        </ext>
      </extLst>
    </cfRule>
  </conditionalFormatting>
  <conditionalFormatting sqref="O31">
    <cfRule type="dataBar" priority="57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{4DD7D88E-957C-49A6-BDBC-FB4AC0A6BBFC}</x14:id>
        </ext>
      </extLst>
    </cfRule>
  </conditionalFormatting>
  <conditionalFormatting sqref="O32">
    <cfRule type="dataBar" priority="58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{8F9D8F14-A2ED-499C-AC7D-7DE013BDCCFA}</x14:id>
        </ext>
      </extLst>
    </cfRule>
  </conditionalFormatting>
  <conditionalFormatting sqref="P30">
    <cfRule type="dataBar" priority="59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{4A8C6D50-F8AB-47F5-B0D0-191017E5B013}</x14:id>
        </ext>
      </extLst>
    </cfRule>
  </conditionalFormatting>
  <conditionalFormatting sqref="P31">
    <cfRule type="dataBar" priority="60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{DBBC27AB-643D-451D-9792-D15DA5CFE089}</x14:id>
        </ext>
      </extLst>
    </cfRule>
  </conditionalFormatting>
  <conditionalFormatting sqref="P32">
    <cfRule type="dataBar" priority="61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{156F48F7-D0F0-4C70-8D26-D463DBBDDC58}</x14:id>
        </ext>
      </extLst>
    </cfRule>
  </conditionalFormatting>
  <conditionalFormatting sqref="O34">
    <cfRule type="dataBar" priority="62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{E5A5274D-6354-498B-A5E2-5DD14E45D7C6}</x14:id>
        </ext>
      </extLst>
    </cfRule>
  </conditionalFormatting>
  <conditionalFormatting sqref="O37">
    <cfRule type="dataBar" priority="63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{64FFC0D0-703D-4571-AB72-CE96D316FDDF}</x14:id>
        </ext>
      </extLst>
    </cfRule>
  </conditionalFormatting>
  <conditionalFormatting sqref="P34">
    <cfRule type="dataBar" priority="64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{66E0AF90-32AB-4A17-ABA8-BE49FE53E9CB}</x14:id>
        </ext>
      </extLst>
    </cfRule>
  </conditionalFormatting>
  <conditionalFormatting sqref="P37">
    <cfRule type="dataBar" priority="65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{4847A6B9-A528-4F21-A1BC-9BC634103D60}</x14:id>
        </ext>
      </extLst>
    </cfRule>
  </conditionalFormatting>
  <conditionalFormatting sqref="O19">
    <cfRule type="dataBar" priority="66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{90A8D04B-2B75-42D2-A6F0-E2294E34C8CA}</x14:id>
        </ext>
      </extLst>
    </cfRule>
  </conditionalFormatting>
  <conditionalFormatting sqref="O20">
    <cfRule type="dataBar" priority="67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{ED8133D4-A7A9-4351-A95C-184AFE78AC66}</x14:id>
        </ext>
      </extLst>
    </cfRule>
  </conditionalFormatting>
  <conditionalFormatting sqref="O21">
    <cfRule type="dataBar" priority="68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{49C120DE-728D-47B4-B55E-889AE781B48E}</x14:id>
        </ext>
      </extLst>
    </cfRule>
  </conditionalFormatting>
  <conditionalFormatting sqref="O22">
    <cfRule type="dataBar" priority="69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{A52E509C-C8A0-44E5-9C1B-26DEC0613381}</x14:id>
        </ext>
      </extLst>
    </cfRule>
  </conditionalFormatting>
  <conditionalFormatting sqref="P20">
    <cfRule type="dataBar" priority="70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{684D60F2-58D7-48F8-9D7D-3D6D7CDB3844}</x14:id>
        </ext>
      </extLst>
    </cfRule>
    <cfRule type="dataBar" priority="71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{F800D1ED-F817-4AD7-A94A-8AD532C930EB}</x14:id>
        </ext>
      </extLst>
    </cfRule>
  </conditionalFormatting>
  <conditionalFormatting sqref="P21">
    <cfRule type="dataBar" priority="72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{B4D076E6-DE50-4F8F-866A-39501E1E25A9}</x14:id>
        </ext>
      </extLst>
    </cfRule>
    <cfRule type="dataBar" priority="73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{8EC03ABA-49A5-42D3-99F4-4DA2E6938231}</x14:id>
        </ext>
      </extLst>
    </cfRule>
  </conditionalFormatting>
  <conditionalFormatting sqref="P22">
    <cfRule type="dataBar" priority="74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{3763A889-1127-4D20-8BB7-5637C12E4029}</x14:id>
        </ext>
      </extLst>
    </cfRule>
    <cfRule type="dataBar" priority="75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{94E636AD-8F19-4649-AECC-DA7B30EF6C99}</x14:id>
        </ext>
      </extLst>
    </cfRule>
  </conditionalFormatting>
  <dataValidations count="1">
    <dataValidation allowBlank="true" errorStyle="stop" operator="between" showDropDown="false" showErrorMessage="true" showInputMessage="true" sqref="P13:P28 P30:P32 P34:P37 P41:P43" type="list">
      <formula1>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D9FF5F-8C11-4710-8524-30DE7A238580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O11:P12 O24:P24 O17:P17 O15 O18</xm:sqref>
        </x14:conditionalFormatting>
        <x14:conditionalFormatting xmlns:xm="http://schemas.microsoft.com/office/excel/2006/main">
          <x14:cfRule type="dataBar" id="{E2F9E156-C7B4-4FC5-9488-FE4F7E815383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P15</xm:sqref>
        </x14:conditionalFormatting>
        <x14:conditionalFormatting xmlns:xm="http://schemas.microsoft.com/office/excel/2006/main">
          <x14:cfRule type="dataBar" id="{9080DFEE-A85A-42CA-9A41-10FEBEDAB095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C48B9F-57E9-48A4-8836-1E2EC3CB5050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P18</xm:sqref>
        </x14:conditionalFormatting>
        <x14:conditionalFormatting xmlns:xm="http://schemas.microsoft.com/office/excel/2006/main">
          <x14:cfRule type="dataBar" id="{B2EFC616-58E0-4660-815F-B7AB6ABFD4DE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A3EFEFD-A0A7-477B-8F40-3320238A9B40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P19</xm:sqref>
        </x14:conditionalFormatting>
        <x14:conditionalFormatting xmlns:xm="http://schemas.microsoft.com/office/excel/2006/main">
          <x14:cfRule type="dataBar" id="{9AA5B26A-E057-46D1-B853-2346C0ED4B6F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O39:O40</xm:sqref>
        </x14:conditionalFormatting>
        <x14:conditionalFormatting xmlns:xm="http://schemas.microsoft.com/office/excel/2006/main">
          <x14:cfRule type="dataBar" id="{B74E6EC5-2ABC-49E8-87D8-CC32163C2D61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O35:O36</xm:sqref>
        </x14:conditionalFormatting>
        <x14:conditionalFormatting xmlns:xm="http://schemas.microsoft.com/office/excel/2006/main">
          <x14:cfRule type="dataBar" id="{3CB17CF6-F53B-456E-8063-995D6244D89A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P36</xm:sqref>
        </x14:conditionalFormatting>
        <x14:conditionalFormatting xmlns:xm="http://schemas.microsoft.com/office/excel/2006/main">
          <x14:cfRule type="dataBar" id="{F7963FB1-4223-4D90-8D3F-A3D0679D9F1E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P35</xm:sqref>
        </x14:conditionalFormatting>
        <x14:conditionalFormatting xmlns:xm="http://schemas.microsoft.com/office/excel/2006/main">
          <x14:cfRule type="dataBar" id="{6BFB3E26-B720-4CDC-99E9-19AB4095BBB0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63F5EC0-4CC2-411C-B08A-AE6696BA565F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P43</xm:sqref>
        </x14:conditionalFormatting>
        <x14:conditionalFormatting xmlns:xm="http://schemas.microsoft.com/office/excel/2006/main">
          <x14:cfRule type="dataBar" id="{95A2D2E5-5E90-48A4-83A5-6F44F057708C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P43</xm:sqref>
        </x14:conditionalFormatting>
        <x14:conditionalFormatting xmlns:xm="http://schemas.microsoft.com/office/excel/2006/main">
          <x14:cfRule type="dataBar" id="{71E45572-74D4-4521-B459-FDA2F7F73AF9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P43</xm:sqref>
        </x14:conditionalFormatting>
        <x14:conditionalFormatting xmlns:xm="http://schemas.microsoft.com/office/excel/2006/main">
          <x14:cfRule type="dataBar" id="{74406718-8260-4938-B4A0-F87499F125D5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P43</xm:sqref>
        </x14:conditionalFormatting>
        <x14:conditionalFormatting xmlns:xm="http://schemas.microsoft.com/office/excel/2006/main">
          <x14:cfRule type="dataBar" id="{E0952566-9830-433E-B690-6070BEDCD0DC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P41</xm:sqref>
        </x14:conditionalFormatting>
        <x14:conditionalFormatting xmlns:xm="http://schemas.microsoft.com/office/excel/2006/main">
          <x14:cfRule type="dataBar" id="{EFD14456-3156-4AF5-AEE3-ED4CC0EA2163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8E35883-703A-4FB8-8BCD-D2A9404F55ED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841FDA2F-94F1-4394-BAFD-BE60E01078FB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BED94DED-8C9F-43B4-AEBC-A0F91793956C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6DB6183B-332E-4EB9-A431-D783992EC700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B502DA1-6A24-489D-BFD1-62C09EC12D1D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24FAF50-40E0-4E99-951F-3D5A22B08661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P14</xm:sqref>
        </x14:conditionalFormatting>
        <x14:conditionalFormatting xmlns:xm="http://schemas.microsoft.com/office/excel/2006/main">
          <x14:cfRule type="dataBar" id="{AB7756AB-6761-4CF0-A2F0-47FDC5AC2659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P13</xm:sqref>
        </x14:conditionalFormatting>
        <x14:conditionalFormatting xmlns:xm="http://schemas.microsoft.com/office/excel/2006/main">
          <x14:cfRule type="dataBar" id="{6D347038-11E9-4D1B-B42B-C83BC4A362C1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1FCF349-948E-44A9-BEF7-CBDE474160FE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1092B59F-A680-459A-9A19-F05BD016F096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3BE2C38D-D46C-416A-86A0-38C55485F4A4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835D2B11-A034-41E8-AA55-BE84AE6FAE6C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226BEB5D-BF9B-4DEC-ACD4-2A979FE0D58C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P16</xm:sqref>
        </x14:conditionalFormatting>
        <x14:conditionalFormatting xmlns:xm="http://schemas.microsoft.com/office/excel/2006/main">
          <x14:cfRule type="dataBar" id="{A2788288-4981-4E8A-9557-8785FFA68060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P25</xm:sqref>
        </x14:conditionalFormatting>
        <x14:conditionalFormatting xmlns:xm="http://schemas.microsoft.com/office/excel/2006/main">
          <x14:cfRule type="dataBar" id="{902C45A4-293E-4847-BB51-F181671CDBB1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P26</xm:sqref>
        </x14:conditionalFormatting>
        <x14:conditionalFormatting xmlns:xm="http://schemas.microsoft.com/office/excel/2006/main">
          <x14:cfRule type="dataBar" id="{D6D09DED-E158-46C0-97D0-99952678AC15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P27</xm:sqref>
        </x14:conditionalFormatting>
        <x14:conditionalFormatting xmlns:xm="http://schemas.microsoft.com/office/excel/2006/main">
          <x14:cfRule type="dataBar" id="{155B1027-6AEF-48C0-A17A-6BFE1F4D2266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P28</xm:sqref>
        </x14:conditionalFormatting>
        <x14:conditionalFormatting xmlns:xm="http://schemas.microsoft.com/office/excel/2006/main">
          <x14:cfRule type="dataBar" id="{38A9F535-4F61-46A1-B82F-8B566EC0C79E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4DD7D88E-957C-49A6-BDBC-FB4AC0A6BBFC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8F9D8F14-A2ED-499C-AC7D-7DE013BDCCFA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4A8C6D50-F8AB-47F5-B0D0-191017E5B013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P30</xm:sqref>
        </x14:conditionalFormatting>
        <x14:conditionalFormatting xmlns:xm="http://schemas.microsoft.com/office/excel/2006/main">
          <x14:cfRule type="dataBar" id="{DBBC27AB-643D-451D-9792-D15DA5CFE089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P31</xm:sqref>
        </x14:conditionalFormatting>
        <x14:conditionalFormatting xmlns:xm="http://schemas.microsoft.com/office/excel/2006/main">
          <x14:cfRule type="dataBar" id="{156F48F7-D0F0-4C70-8D26-D463DBBDDC58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P32</xm:sqref>
        </x14:conditionalFormatting>
        <x14:conditionalFormatting xmlns:xm="http://schemas.microsoft.com/office/excel/2006/main">
          <x14:cfRule type="dataBar" id="{E5A5274D-6354-498B-A5E2-5DD14E45D7C6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O34</xm:sqref>
        </x14:conditionalFormatting>
        <x14:conditionalFormatting xmlns:xm="http://schemas.microsoft.com/office/excel/2006/main">
          <x14:cfRule type="dataBar" id="{64FFC0D0-703D-4571-AB72-CE96D316FDDF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66E0AF90-32AB-4A17-ABA8-BE49FE53E9CB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P34</xm:sqref>
        </x14:conditionalFormatting>
        <x14:conditionalFormatting xmlns:xm="http://schemas.microsoft.com/office/excel/2006/main">
          <x14:cfRule type="dataBar" id="{4847A6B9-A528-4F21-A1BC-9BC634103D60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P37</xm:sqref>
        </x14:conditionalFormatting>
        <x14:conditionalFormatting xmlns:xm="http://schemas.microsoft.com/office/excel/2006/main">
          <x14:cfRule type="dataBar" id="{90A8D04B-2B75-42D2-A6F0-E2294E34C8CA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D8133D4-A7A9-4351-A95C-184AFE78AC66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9C120DE-728D-47B4-B55E-889AE781B48E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A52E509C-C8A0-44E5-9C1B-26DEC0613381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684D60F2-58D7-48F8-9D7D-3D6D7CDB3844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00D1ED-F817-4AD7-A94A-8AD532C930EB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P20</xm:sqref>
        </x14:conditionalFormatting>
        <x14:conditionalFormatting xmlns:xm="http://schemas.microsoft.com/office/excel/2006/main">
          <x14:cfRule type="dataBar" id="{B4D076E6-DE50-4F8F-866A-39501E1E25A9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EC03ABA-49A5-42D3-99F4-4DA2E6938231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P21</xm:sqref>
        </x14:conditionalFormatting>
        <x14:conditionalFormatting xmlns:xm="http://schemas.microsoft.com/office/excel/2006/main">
          <x14:cfRule type="dataBar" id="{3763A889-1127-4D20-8BB7-5637C12E4029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4E636AD-8F19-4649-AECC-DA7B30EF6C99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2022-10-12T21:12:16Z</dcterms:created>
  <dc:creator>Philippe CAM</dc:creator>
  <dc:description/>
  <dc:language>fr-FR</dc:language>
  <cp:lastModifiedBy/>
  <dcterms:modified xsi:type="dcterms:W3CDTF">2026-01-22T08:26:48Z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