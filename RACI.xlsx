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en\Documents\GitHub\IUT-2025-2026_SAE-302\"/>
    </mc:Choice>
  </mc:AlternateContent>
  <xr:revisionPtr revIDLastSave="0" documentId="8_{50DC77CC-953B-4AA6-A5AC-85DCE7224E7A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Avancement Projet" sheetId="1" r:id="rId1"/>
  </sheets>
  <definedNames>
    <definedName name="_xlnm._FilterDatabase" localSheetId="0" hidden="1">'Avancement Projet'!$B$8:$P$31</definedName>
    <definedName name="_Toc181209280" localSheetId="0">'Avancement Projet'!$D$25</definedName>
    <definedName name="_Toc181209281" localSheetId="0">'Avancement Projet'!#REF!</definedName>
    <definedName name="_Toc181209282" localSheetId="0">'Avancement Projet'!#REF!</definedName>
    <definedName name="_Toc181209283" localSheetId="0">'Avancement Projet'!$D$26</definedName>
    <definedName name="_Toc181209284" localSheetId="0">'Avancement Projet'!#REF!</definedName>
    <definedName name="DateDebutProjet">#REF!</definedName>
    <definedName name="week">#REF!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6" i="1" l="1"/>
  <c r="N35" i="1"/>
  <c r="N34" i="1"/>
  <c r="N33" i="1"/>
  <c r="O32" i="1"/>
  <c r="N32" i="1"/>
  <c r="N31" i="1"/>
  <c r="N30" i="1"/>
  <c r="O29" i="1"/>
  <c r="N29" i="1"/>
  <c r="N27" i="1"/>
  <c r="N26" i="1"/>
  <c r="N25" i="1"/>
  <c r="O24" i="1"/>
  <c r="M24" i="1"/>
  <c r="L24" i="1"/>
  <c r="N24" i="1" s="1"/>
  <c r="N22" i="1"/>
  <c r="N21" i="1"/>
  <c r="N20" i="1"/>
  <c r="N19" i="1"/>
  <c r="N18" i="1"/>
  <c r="O17" i="1"/>
  <c r="M17" i="1"/>
  <c r="L17" i="1"/>
  <c r="O12" i="1"/>
  <c r="M12" i="1"/>
  <c r="L12" i="1"/>
  <c r="Q10" i="1"/>
  <c r="R10" i="1" s="1"/>
  <c r="L11" i="1" l="1"/>
  <c r="N11" i="1" s="1"/>
  <c r="M11" i="1"/>
  <c r="R8" i="1"/>
  <c r="S10" i="1"/>
  <c r="R9" i="1"/>
  <c r="N17" i="1"/>
  <c r="Q9" i="1"/>
  <c r="N12" i="1"/>
  <c r="Q8" i="1"/>
  <c r="S8" i="1" l="1"/>
  <c r="T10" i="1"/>
  <c r="S9" i="1"/>
  <c r="T8" i="1" l="1"/>
  <c r="U10" i="1"/>
  <c r="T9" i="1"/>
  <c r="U8" i="1" l="1"/>
  <c r="V10" i="1"/>
  <c r="U9" i="1"/>
  <c r="V8" i="1" l="1"/>
  <c r="W10" i="1"/>
  <c r="V9" i="1"/>
  <c r="W8" i="1" l="1"/>
  <c r="X10" i="1"/>
  <c r="W9" i="1"/>
  <c r="Y10" i="1" l="1"/>
  <c r="X9" i="1"/>
  <c r="X8" i="1"/>
  <c r="Y9" i="1" l="1"/>
  <c r="Y8" i="1"/>
  <c r="Z10" i="1"/>
  <c r="Z9" i="1" l="1"/>
  <c r="Z8" i="1"/>
  <c r="AA10" i="1"/>
  <c r="AA9" i="1" l="1"/>
  <c r="AA8" i="1"/>
  <c r="AB10" i="1"/>
  <c r="AB9" i="1" l="1"/>
  <c r="AC10" i="1"/>
  <c r="AB8" i="1"/>
  <c r="AC9" i="1" l="1"/>
  <c r="AC8" i="1"/>
  <c r="AD10" i="1"/>
  <c r="AD9" i="1" l="1"/>
  <c r="AE10" i="1"/>
  <c r="AD8" i="1"/>
  <c r="AE9" i="1" l="1"/>
  <c r="AF10" i="1"/>
  <c r="AE8" i="1"/>
  <c r="AG10" i="1" l="1"/>
  <c r="AF9" i="1"/>
  <c r="AF8" i="1"/>
  <c r="AG8" i="1" l="1"/>
  <c r="AH10" i="1"/>
  <c r="AG9" i="1"/>
  <c r="AH8" i="1" l="1"/>
  <c r="AI10" i="1"/>
  <c r="AH9" i="1"/>
  <c r="AI8" i="1" l="1"/>
  <c r="AJ10" i="1"/>
  <c r="AI9" i="1"/>
  <c r="AJ8" i="1" l="1"/>
  <c r="AK10" i="1"/>
  <c r="AJ9" i="1"/>
  <c r="AK8" i="1" l="1"/>
  <c r="AL10" i="1"/>
  <c r="AK9" i="1"/>
  <c r="AL8" i="1" l="1"/>
  <c r="AM10" i="1"/>
  <c r="AL9" i="1"/>
  <c r="AN10" i="1" l="1"/>
  <c r="AM9" i="1"/>
  <c r="AM8" i="1"/>
  <c r="AO10" i="1" l="1"/>
  <c r="AN9" i="1"/>
  <c r="AN8" i="1"/>
  <c r="AO9" i="1" l="1"/>
  <c r="AO8" i="1"/>
  <c r="AP10" i="1"/>
  <c r="AP9" i="1" l="1"/>
  <c r="AP8" i="1"/>
  <c r="AQ10" i="1"/>
  <c r="AQ9" i="1" l="1"/>
  <c r="AQ8" i="1"/>
  <c r="AR10" i="1"/>
  <c r="AR9" i="1" l="1"/>
  <c r="AR8" i="1"/>
  <c r="AS10" i="1"/>
  <c r="AS9" i="1" l="1"/>
  <c r="AS8" i="1"/>
  <c r="AT10" i="1"/>
  <c r="AT9" i="1" l="1"/>
  <c r="AU10" i="1"/>
  <c r="AT8" i="1"/>
  <c r="AU9" i="1" l="1"/>
  <c r="AU8" i="1"/>
  <c r="AV10" i="1"/>
  <c r="AW10" i="1" l="1"/>
  <c r="AV8" i="1"/>
  <c r="AV9" i="1"/>
  <c r="AW8" i="1" l="1"/>
  <c r="AX10" i="1"/>
  <c r="AW9" i="1"/>
  <c r="AX8" i="1" l="1"/>
  <c r="AY10" i="1"/>
  <c r="AX9" i="1"/>
  <c r="AY8" i="1" l="1"/>
  <c r="AZ10" i="1"/>
  <c r="AY9" i="1"/>
  <c r="AZ8" i="1" l="1"/>
  <c r="BA10" i="1"/>
  <c r="AZ9" i="1"/>
  <c r="BA8" i="1" l="1"/>
  <c r="BB10" i="1"/>
  <c r="BA9" i="1"/>
  <c r="BB8" i="1" l="1"/>
  <c r="BC10" i="1"/>
  <c r="BB9" i="1"/>
  <c r="BD10" i="1" l="1"/>
  <c r="BC9" i="1"/>
  <c r="BC8" i="1"/>
  <c r="BE10" i="1" l="1"/>
  <c r="BD9" i="1"/>
  <c r="BD8" i="1"/>
  <c r="BE9" i="1" l="1"/>
  <c r="BE8" i="1"/>
  <c r="BF10" i="1"/>
  <c r="BF9" i="1" l="1"/>
  <c r="BF8" i="1"/>
  <c r="BG10" i="1"/>
  <c r="BG9" i="1" l="1"/>
  <c r="BG8" i="1"/>
  <c r="BH10" i="1"/>
  <c r="BH9" i="1" l="1"/>
  <c r="BI10" i="1"/>
  <c r="BH8" i="1"/>
  <c r="BI9" i="1" l="1"/>
  <c r="BI8" i="1"/>
  <c r="BJ10" i="1"/>
  <c r="BJ9" i="1" l="1"/>
  <c r="BK10" i="1"/>
  <c r="BJ8" i="1"/>
  <c r="BK9" i="1" l="1"/>
  <c r="BL10" i="1"/>
  <c r="BK8" i="1"/>
  <c r="BL9" i="1" l="1"/>
  <c r="BM10" i="1"/>
  <c r="BL8" i="1"/>
  <c r="BM8" i="1" l="1"/>
  <c r="BN10" i="1"/>
  <c r="BM9" i="1"/>
  <c r="BN8" i="1" l="1"/>
  <c r="BO10" i="1"/>
  <c r="BN9" i="1"/>
  <c r="BO8" i="1" l="1"/>
  <c r="BP10" i="1"/>
  <c r="BO9" i="1"/>
  <c r="BP8" i="1" l="1"/>
  <c r="BQ10" i="1"/>
  <c r="BP9" i="1"/>
  <c r="BQ8" i="1" l="1"/>
  <c r="BR10" i="1"/>
  <c r="BQ9" i="1"/>
  <c r="BR8" i="1" l="1"/>
  <c r="BS10" i="1"/>
  <c r="BR9" i="1"/>
  <c r="BT10" i="1" l="1"/>
  <c r="BS9" i="1"/>
  <c r="BS8" i="1"/>
  <c r="BU10" i="1" l="1"/>
  <c r="BT9" i="1"/>
  <c r="BT8" i="1"/>
  <c r="BU9" i="1" l="1"/>
  <c r="BU8" i="1"/>
  <c r="BV10" i="1"/>
  <c r="BV9" i="1" l="1"/>
  <c r="BV8" i="1"/>
  <c r="BW10" i="1"/>
  <c r="BW9" i="1" l="1"/>
  <c r="BW8" i="1"/>
  <c r="BX10" i="1"/>
  <c r="BX9" i="1" l="1"/>
  <c r="BX8" i="1"/>
  <c r="BY10" i="1"/>
  <c r="BY9" i="1" l="1"/>
  <c r="BY8" i="1"/>
  <c r="BZ10" i="1"/>
  <c r="BZ8" i="1" l="1"/>
  <c r="BZ9" i="1"/>
  <c r="CA10" i="1"/>
  <c r="CA9" i="1" l="1"/>
  <c r="CA8" i="1"/>
  <c r="CB10" i="1"/>
  <c r="CC10" i="1" l="1"/>
  <c r="CB8" i="1"/>
  <c r="CB9" i="1"/>
  <c r="CC8" i="1" l="1"/>
  <c r="CD10" i="1"/>
  <c r="CC9" i="1"/>
  <c r="CD8" i="1" l="1"/>
  <c r="CE10" i="1"/>
  <c r="CD9" i="1"/>
  <c r="CE8" i="1" l="1"/>
  <c r="CF10" i="1"/>
  <c r="CE9" i="1"/>
  <c r="CF8" i="1" l="1"/>
  <c r="CG10" i="1"/>
  <c r="CF9" i="1"/>
  <c r="CG8" i="1" l="1"/>
  <c r="CH10" i="1"/>
  <c r="CG9" i="1"/>
  <c r="CH8" i="1" l="1"/>
  <c r="CI10" i="1"/>
  <c r="CH9" i="1"/>
  <c r="CJ10" i="1" l="1"/>
  <c r="CI9" i="1"/>
  <c r="CI8" i="1"/>
  <c r="CK10" i="1" l="1"/>
  <c r="CJ9" i="1"/>
  <c r="CJ8" i="1"/>
  <c r="CK9" i="1" l="1"/>
  <c r="CK8" i="1"/>
  <c r="CL10" i="1"/>
  <c r="CL9" i="1" l="1"/>
  <c r="CL8" i="1"/>
  <c r="CM10" i="1"/>
  <c r="CM9" i="1" l="1"/>
  <c r="CM8" i="1"/>
  <c r="CN10" i="1"/>
  <c r="CN9" i="1" l="1"/>
  <c r="CN8" i="1"/>
  <c r="CO10" i="1"/>
  <c r="CO9" i="1" l="1"/>
  <c r="CO8" i="1"/>
  <c r="CP10" i="1"/>
  <c r="CP9" i="1" l="1"/>
  <c r="CQ10" i="1"/>
  <c r="CP8" i="1"/>
  <c r="CQ9" i="1" l="1"/>
  <c r="CR10" i="1"/>
  <c r="CQ8" i="1"/>
  <c r="CR9" i="1" l="1"/>
  <c r="CS10" i="1"/>
  <c r="CR8" i="1"/>
  <c r="CS8" i="1" l="1"/>
  <c r="CT10" i="1"/>
  <c r="CS9" i="1"/>
  <c r="CT8" i="1" l="1"/>
  <c r="CU10" i="1"/>
  <c r="CT9" i="1"/>
  <c r="CU8" i="1" l="1"/>
  <c r="CV10" i="1"/>
  <c r="CU9" i="1"/>
  <c r="CV8" i="1" l="1"/>
  <c r="CW10" i="1"/>
  <c r="CV9" i="1"/>
  <c r="CW8" i="1" l="1"/>
  <c r="CX10" i="1"/>
  <c r="CW9" i="1"/>
  <c r="CX8" i="1" l="1"/>
  <c r="CY10" i="1"/>
  <c r="CX9" i="1"/>
  <c r="CY8" i="1" l="1"/>
  <c r="CY9" i="1"/>
</calcChain>
</file>

<file path=xl/sharedStrings.xml><?xml version="1.0" encoding="utf-8"?>
<sst xmlns="http://schemas.openxmlformats.org/spreadsheetml/2006/main" count="202" uniqueCount="79">
  <si>
    <t>Planification</t>
  </si>
  <si>
    <t>Titre du Projet</t>
  </si>
  <si>
    <t>SAE302</t>
  </si>
  <si>
    <t>Nom du Groupe</t>
  </si>
  <si>
    <t>Bowser Shell Team's</t>
  </si>
  <si>
    <t>Chef de Projet</t>
  </si>
  <si>
    <t>GOMBERT-Julien</t>
  </si>
  <si>
    <t>Date Mise à Jour</t>
  </si>
  <si>
    <t>Membres du Groupe</t>
  </si>
  <si>
    <t>Julien, Yoann, Titouan, Adrien</t>
  </si>
  <si>
    <t>Date Démarrage Projet (Semestre 2)</t>
  </si>
  <si>
    <t>Numéro</t>
  </si>
  <si>
    <t>Type</t>
  </si>
  <si>
    <t>Titre de la Tâche</t>
  </si>
  <si>
    <t>Responsable</t>
  </si>
  <si>
    <t>Approbateur</t>
  </si>
  <si>
    <t>Consulté</t>
  </si>
  <si>
    <t>Informé</t>
  </si>
  <si>
    <t>Validation</t>
  </si>
  <si>
    <t>Début Retard</t>
  </si>
  <si>
    <t>Fin Retard</t>
  </si>
  <si>
    <t>Date
Début</t>
  </si>
  <si>
    <t>Date
Limite</t>
  </si>
  <si>
    <t>Durée
(jour)</t>
  </si>
  <si>
    <t>Avancement
Tâche
(en %)</t>
  </si>
  <si>
    <t>Statut</t>
  </si>
  <si>
    <t>P</t>
  </si>
  <si>
    <t>Projet</t>
  </si>
  <si>
    <t>Application Java Scanner CVE</t>
  </si>
  <si>
    <t>T</t>
  </si>
  <si>
    <t>1.1</t>
  </si>
  <si>
    <t xml:space="preserve">Application CLI </t>
  </si>
  <si>
    <t>Julien</t>
  </si>
  <si>
    <t>Titouan</t>
  </si>
  <si>
    <t>Groupe</t>
  </si>
  <si>
    <t>Terminée</t>
  </si>
  <si>
    <t>1.2</t>
  </si>
  <si>
    <t>Gestion BdD</t>
  </si>
  <si>
    <t>Yoann</t>
  </si>
  <si>
    <t>1.3</t>
  </si>
  <si>
    <t>Design UML</t>
  </si>
  <si>
    <t>Adrien</t>
  </si>
  <si>
    <t>OK</t>
  </si>
  <si>
    <t>1.4</t>
  </si>
  <si>
    <t>Documentation / Guide</t>
  </si>
  <si>
    <t>Application Android</t>
  </si>
  <si>
    <t>2.1</t>
  </si>
  <si>
    <t>[GUI] Activité n °1</t>
  </si>
  <si>
    <t>en cours</t>
  </si>
  <si>
    <t>2.2</t>
  </si>
  <si>
    <t>[GUI] Activité n °2</t>
  </si>
  <si>
    <t>2.3</t>
  </si>
  <si>
    <t>[JAVA] Activité n °1</t>
  </si>
  <si>
    <t>2.4</t>
  </si>
  <si>
    <t>[JAVA] Activité n °2</t>
  </si>
  <si>
    <t>2.5</t>
  </si>
  <si>
    <t>Communication API</t>
  </si>
  <si>
    <t>Adrien, Titouan</t>
  </si>
  <si>
    <t>Non démarrée</t>
  </si>
  <si>
    <t>Communication FastAPI</t>
  </si>
  <si>
    <t>3.1</t>
  </si>
  <si>
    <t>Intégration API</t>
  </si>
  <si>
    <t>3.21</t>
  </si>
  <si>
    <t>3.22</t>
  </si>
  <si>
    <t>Serveur Python</t>
  </si>
  <si>
    <t>4.0</t>
  </si>
  <si>
    <t>Base de donnée</t>
  </si>
  <si>
    <t>4.1</t>
  </si>
  <si>
    <t>Installation / Configs SQLite</t>
  </si>
  <si>
    <t>4.2</t>
  </si>
  <si>
    <t>4.3</t>
  </si>
  <si>
    <t>Intégration dans SQLite</t>
  </si>
  <si>
    <t>5.0</t>
  </si>
  <si>
    <t>Documents IA</t>
  </si>
  <si>
    <t>Yoann , Julien</t>
  </si>
  <si>
    <t>R</t>
  </si>
  <si>
    <t>A</t>
  </si>
  <si>
    <t>C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</si>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</sst>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/mm\/yy"/>
    <numFmt numFmtId="165" formatCode="mmmm"/>
    <numFmt numFmtId="166" formatCode="dd"/>
    <numFmt numFmtId="167" formatCode="0.0"/>
    <numFmt numFmtId="168" formatCode="dd/mm/yy;@"/>
    <numFmt numFmtId="169" formatCode="0\ %"/>
    <numFmt numFmtId="170" formatCode="\$#,##0.00"/>
    <numFmt numFmtId="171" formatCode="d\.m"/>
    <numFmt numFmtId="172" formatCode="0.00\ %"/>
  </numFmts>
  <fonts count="22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1"/>
      <name val="Arial"/>
      <family val="2"/>
      <charset val="1"/>
    </font>
    <font>
      <b/>
      <sz val="30"/>
      <color rgb="FF0B5394"/>
      <name val="Arial"/>
      <family val="2"/>
      <charset val="1"/>
    </font>
    <font>
      <sz val="10"/>
      <name val="Arial"/>
      <family val="2"/>
      <charset val="1"/>
    </font>
    <font>
      <b/>
      <sz val="12"/>
      <color rgb="FF0B5394"/>
      <name val="Arial"/>
      <family val="2"/>
      <charset val="1"/>
    </font>
    <font>
      <sz val="12"/>
      <color rgb="FF0B5394"/>
      <name val="Arial"/>
      <family val="2"/>
      <charset val="1"/>
    </font>
    <font>
      <b/>
      <sz val="11"/>
      <color rgb="FF434343"/>
      <name val="Arial"/>
      <family val="2"/>
      <charset val="1"/>
    </font>
    <font>
      <sz val="11"/>
      <color rgb="FF434343"/>
      <name val="Arial"/>
      <family val="2"/>
      <charset val="1"/>
    </font>
    <font>
      <sz val="11"/>
      <color rgb="FF000000"/>
      <name val="Arial"/>
      <family val="2"/>
      <charset val="1"/>
    </font>
    <font>
      <b/>
      <sz val="10"/>
      <color rgb="FF666666"/>
      <name val="Arial"/>
      <family val="2"/>
      <charset val="1"/>
    </font>
    <font>
      <sz val="10"/>
      <color rgb="FF999999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rgb="FFFF0000"/>
      <name val="Arial"/>
      <family val="2"/>
      <charset val="1"/>
    </font>
    <font>
      <b/>
      <sz val="11"/>
      <color rgb="FFFF0000"/>
      <name val="Arial"/>
      <family val="2"/>
      <charset val="1"/>
    </font>
    <font>
      <sz val="10"/>
      <color rgb="FFFF0000"/>
      <name val="Arial"/>
      <family val="2"/>
      <charset val="1"/>
    </font>
    <font>
      <b/>
      <sz val="11"/>
      <color rgb="FF000000"/>
      <name val="Arial"/>
      <family val="2"/>
      <charset val="1"/>
    </font>
    <font>
      <sz val="10"/>
      <color rgb="FF434343"/>
      <name val="Arial"/>
      <family val="2"/>
      <charset val="1"/>
    </font>
    <font>
      <b/>
      <sz val="11"/>
      <name val="Arial"/>
      <family val="2"/>
      <charset val="1"/>
    </font>
    <font>
      <sz val="10"/>
      <color rgb="FF000000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EFEFEF"/>
      </patternFill>
    </fill>
    <fill>
      <patternFill patternType="solid">
        <fgColor rgb="FFEFEFEF"/>
        <bgColor rgb="FFF2EAFF"/>
      </patternFill>
    </fill>
    <fill>
      <patternFill patternType="solid">
        <fgColor rgb="FF2F75B5"/>
        <bgColor rgb="FF3D85C6"/>
      </patternFill>
    </fill>
    <fill>
      <patternFill patternType="solid">
        <fgColor rgb="FFBDD7EE"/>
        <bgColor rgb="FFCCCCCC"/>
      </patternFill>
    </fill>
    <fill>
      <patternFill patternType="solid">
        <fgColor rgb="FFA6A6A6"/>
        <bgColor rgb="FF999999"/>
      </patternFill>
    </fill>
    <fill>
      <patternFill patternType="solid">
        <fgColor rgb="FF8FAADC"/>
        <bgColor rgb="FFA6A6A6"/>
      </patternFill>
    </fill>
    <fill>
      <patternFill patternType="solid">
        <fgColor rgb="FFD9D9D9"/>
        <bgColor rgb="FFCCCCCC"/>
      </patternFill>
    </fill>
    <fill>
      <patternFill patternType="solid">
        <fgColor rgb="FFF2EAFF"/>
        <bgColor rgb="FFEFEFEF"/>
      </patternFill>
    </fill>
    <fill>
      <patternFill patternType="solid">
        <fgColor rgb="FFFBE8E7"/>
        <bgColor rgb="FFEFEFEF"/>
      </patternFill>
    </fill>
    <fill>
      <patternFill patternType="solid">
        <fgColor rgb="FFD2FCF9"/>
        <bgColor rgb="FFEFEFEF"/>
      </patternFill>
    </fill>
    <fill>
      <patternFill patternType="solid">
        <fgColor rgb="FFFFF1CC"/>
        <bgColor rgb="FFFBE8E7"/>
      </patternFill>
    </fill>
    <fill>
      <patternFill patternType="solid">
        <fgColor rgb="FF7F7F7F"/>
        <bgColor rgb="FF666666"/>
      </patternFill>
    </fill>
  </fills>
  <borders count="16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thin">
        <color rgb="FFCCCCCC"/>
      </top>
      <bottom style="hair">
        <color auto="1"/>
      </bottom>
      <diagonal/>
    </border>
    <border>
      <left/>
      <right/>
      <top style="thin">
        <color rgb="FFCCCCCC"/>
      </top>
      <bottom style="thin">
        <color rgb="FFB7B7B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9" fontId="21" fillId="0" borderId="0" applyBorder="0" applyProtection="0"/>
  </cellStyleXfs>
  <cellXfs count="106">
    <xf numFmtId="0" fontId="0" fillId="0" borderId="0" xfId="0"/>
    <xf numFmtId="171" fontId="19" fillId="0" borderId="10" xfId="0" applyNumberFormat="1" applyFont="1" applyBorder="1" applyAlignment="1">
      <alignment horizontal="left" vertical="center" wrapText="1"/>
    </xf>
    <xf numFmtId="0" fontId="18" fillId="7" borderId="8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/>
    </xf>
    <xf numFmtId="14" fontId="1" fillId="0" borderId="2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4" fillId="0" borderId="1" xfId="0" applyFont="1" applyBorder="1"/>
    <xf numFmtId="0" fontId="7" fillId="0" borderId="0" xfId="0" applyFont="1" applyAlignment="1">
      <alignment horizontal="left"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4" fillId="0" borderId="0" xfId="0" applyFont="1"/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2" fillId="0" borderId="0" xfId="0" applyFont="1" applyAlignment="1">
      <alignment vertical="center"/>
    </xf>
    <xf numFmtId="165" fontId="14" fillId="4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3" fillId="5" borderId="5" xfId="0" applyFont="1" applyFill="1" applyBorder="1" applyAlignment="1">
      <alignment horizontal="center" vertical="center"/>
    </xf>
    <xf numFmtId="166" fontId="13" fillId="5" borderId="0" xfId="0" applyNumberFormat="1" applyFont="1" applyFill="1" applyAlignment="1">
      <alignment horizontal="center" vertical="center"/>
    </xf>
    <xf numFmtId="0" fontId="15" fillId="6" borderId="0" xfId="0" applyFont="1" applyFill="1" applyAlignment="1">
      <alignment vertical="center"/>
    </xf>
    <xf numFmtId="167" fontId="16" fillId="6" borderId="6" xfId="0" applyNumberFormat="1" applyFont="1" applyFill="1" applyBorder="1" applyAlignment="1">
      <alignment horizontal="left" vertical="center" wrapText="1"/>
    </xf>
    <xf numFmtId="0" fontId="16" fillId="6" borderId="6" xfId="0" applyFont="1" applyFill="1" applyBorder="1" applyAlignment="1">
      <alignment horizontal="left" vertical="center" wrapText="1"/>
    </xf>
    <xf numFmtId="0" fontId="16" fillId="6" borderId="6" xfId="0" applyFont="1" applyFill="1" applyBorder="1" applyAlignment="1">
      <alignment vertical="center"/>
    </xf>
    <xf numFmtId="168" fontId="16" fillId="6" borderId="6" xfId="0" applyNumberFormat="1" applyFont="1" applyFill="1" applyBorder="1" applyAlignment="1">
      <alignment vertical="center" wrapText="1"/>
    </xf>
    <xf numFmtId="0" fontId="16" fillId="6" borderId="6" xfId="0" applyFont="1" applyFill="1" applyBorder="1" applyAlignment="1">
      <alignment horizontal="center" vertical="center" wrapText="1"/>
    </xf>
    <xf numFmtId="169" fontId="16" fillId="6" borderId="6" xfId="1" applyFont="1" applyFill="1" applyBorder="1" applyAlignment="1" applyProtection="1">
      <alignment horizontal="center" vertical="center" wrapText="1"/>
    </xf>
    <xf numFmtId="169" fontId="16" fillId="6" borderId="0" xfId="0" applyNumberFormat="1" applyFont="1" applyFill="1" applyAlignment="1">
      <alignment horizontal="center" vertical="center" wrapText="1"/>
    </xf>
    <xf numFmtId="0" fontId="16" fillId="6" borderId="7" xfId="0" applyFont="1" applyFill="1" applyBorder="1" applyAlignment="1">
      <alignment horizontal="center" vertical="center"/>
    </xf>
    <xf numFmtId="170" fontId="16" fillId="6" borderId="7" xfId="0" applyNumberFormat="1" applyFont="1" applyFill="1" applyBorder="1" applyAlignment="1">
      <alignment horizontal="center" vertical="center"/>
    </xf>
    <xf numFmtId="3" fontId="16" fillId="6" borderId="7" xfId="0" applyNumberFormat="1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vertical="center"/>
    </xf>
    <xf numFmtId="0" fontId="17" fillId="6" borderId="7" xfId="0" applyFont="1" applyFill="1" applyBorder="1"/>
    <xf numFmtId="0" fontId="17" fillId="6" borderId="0" xfId="0" applyFont="1" applyFill="1"/>
    <xf numFmtId="0" fontId="2" fillId="7" borderId="0" xfId="0" applyFont="1" applyFill="1" applyAlignment="1">
      <alignment vertical="center"/>
    </xf>
    <xf numFmtId="167" fontId="18" fillId="7" borderId="6" xfId="0" applyNumberFormat="1" applyFont="1" applyFill="1" applyBorder="1" applyAlignment="1">
      <alignment horizontal="left" vertical="center" wrapText="1"/>
    </xf>
    <xf numFmtId="0" fontId="18" fillId="7" borderId="6" xfId="0" applyFont="1" applyFill="1" applyBorder="1" applyAlignment="1">
      <alignment vertical="center"/>
    </xf>
    <xf numFmtId="168" fontId="18" fillId="7" borderId="6" xfId="0" applyNumberFormat="1" applyFont="1" applyFill="1" applyBorder="1" applyAlignment="1">
      <alignment vertical="center" wrapText="1"/>
    </xf>
    <xf numFmtId="0" fontId="18" fillId="7" borderId="6" xfId="0" applyFont="1" applyFill="1" applyBorder="1" applyAlignment="1">
      <alignment horizontal="center" vertical="center" wrapText="1"/>
    </xf>
    <xf numFmtId="169" fontId="18" fillId="7" borderId="6" xfId="1" applyFont="1" applyFill="1" applyBorder="1" applyAlignment="1" applyProtection="1">
      <alignment horizontal="center" vertical="center" wrapText="1"/>
    </xf>
    <xf numFmtId="169" fontId="18" fillId="7" borderId="0" xfId="0" applyNumberFormat="1" applyFont="1" applyFill="1" applyAlignment="1">
      <alignment horizontal="center" vertical="center" wrapText="1"/>
    </xf>
    <xf numFmtId="0" fontId="18" fillId="8" borderId="7" xfId="0" applyFont="1" applyFill="1" applyBorder="1" applyAlignment="1">
      <alignment horizontal="center" vertical="center"/>
    </xf>
    <xf numFmtId="170" fontId="18" fillId="8" borderId="7" xfId="0" applyNumberFormat="1" applyFont="1" applyFill="1" applyBorder="1" applyAlignment="1">
      <alignment horizontal="center" vertical="center"/>
    </xf>
    <xf numFmtId="3" fontId="18" fillId="8" borderId="7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vertical="center"/>
    </xf>
    <xf numFmtId="0" fontId="1" fillId="8" borderId="7" xfId="0" applyFont="1" applyFill="1" applyBorder="1"/>
    <xf numFmtId="0" fontId="1" fillId="8" borderId="0" xfId="0" applyFont="1" applyFill="1"/>
    <xf numFmtId="0" fontId="4" fillId="0" borderId="9" xfId="0" applyFont="1" applyBorder="1" applyAlignment="1">
      <alignment vertical="center"/>
    </xf>
    <xf numFmtId="167" fontId="19" fillId="0" borderId="9" xfId="0" applyNumberFormat="1" applyFont="1" applyBorder="1" applyAlignment="1">
      <alignment horizontal="left" vertical="center" wrapText="1"/>
    </xf>
    <xf numFmtId="0" fontId="19" fillId="9" borderId="0" xfId="0" applyFont="1" applyFill="1" applyAlignment="1">
      <alignment horizontal="center" vertical="center" wrapText="1"/>
    </xf>
    <xf numFmtId="0" fontId="19" fillId="10" borderId="0" xfId="0" applyFont="1" applyFill="1" applyAlignment="1">
      <alignment horizontal="center" vertical="center" wrapText="1"/>
    </xf>
    <xf numFmtId="0" fontId="19" fillId="11" borderId="0" xfId="0" applyFont="1" applyFill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164" fontId="19" fillId="0" borderId="0" xfId="0" applyNumberFormat="1" applyFont="1" applyAlignment="1">
      <alignment horizontal="center" vertical="center" wrapText="1"/>
    </xf>
    <xf numFmtId="16" fontId="19" fillId="2" borderId="0" xfId="0" applyNumberFormat="1" applyFont="1" applyFill="1" applyAlignment="1">
      <alignment horizontal="center" vertical="center" wrapText="1"/>
    </xf>
    <xf numFmtId="164" fontId="19" fillId="0" borderId="0" xfId="0" applyNumberFormat="1" applyFont="1" applyAlignment="1">
      <alignment horizontal="left" vertical="center" wrapText="1"/>
    </xf>
    <xf numFmtId="0" fontId="19" fillId="0" borderId="11" xfId="0" applyFont="1" applyBorder="1" applyAlignment="1">
      <alignment horizontal="center" vertical="center" wrapText="1"/>
    </xf>
    <xf numFmtId="169" fontId="19" fillId="0" borderId="12" xfId="1" applyFont="1" applyBorder="1" applyAlignment="1" applyProtection="1">
      <alignment horizontal="center" vertical="center" wrapText="1"/>
    </xf>
    <xf numFmtId="169" fontId="19" fillId="0" borderId="0" xfId="0" applyNumberFormat="1" applyFont="1" applyAlignment="1">
      <alignment horizontal="center" vertical="center" wrapText="1"/>
    </xf>
    <xf numFmtId="169" fontId="13" fillId="0" borderId="7" xfId="0" applyNumberFormat="1" applyFont="1" applyBorder="1" applyAlignment="1">
      <alignment horizontal="center" vertical="center"/>
    </xf>
    <xf numFmtId="170" fontId="13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1" fillId="0" borderId="7" xfId="0" applyFont="1" applyBorder="1"/>
    <xf numFmtId="0" fontId="4" fillId="7" borderId="0" xfId="0" applyFont="1" applyFill="1" applyAlignment="1">
      <alignment vertical="center"/>
    </xf>
    <xf numFmtId="167" fontId="18" fillId="7" borderId="0" xfId="0" applyNumberFormat="1" applyFont="1" applyFill="1" applyAlignment="1">
      <alignment horizontal="left" vertical="center" wrapText="1"/>
    </xf>
    <xf numFmtId="0" fontId="18" fillId="7" borderId="0" xfId="0" applyFont="1" applyFill="1" applyAlignment="1">
      <alignment vertical="center"/>
    </xf>
    <xf numFmtId="0" fontId="18" fillId="7" borderId="0" xfId="0" applyFont="1" applyFill="1" applyAlignment="1">
      <alignment horizontal="center" vertical="center"/>
    </xf>
    <xf numFmtId="168" fontId="18" fillId="7" borderId="0" xfId="0" applyNumberFormat="1" applyFont="1" applyFill="1" applyAlignment="1">
      <alignment vertical="center" wrapText="1"/>
    </xf>
    <xf numFmtId="0" fontId="18" fillId="7" borderId="0" xfId="0" applyFont="1" applyFill="1" applyAlignment="1">
      <alignment horizontal="center" vertical="center" wrapText="1"/>
    </xf>
    <xf numFmtId="172" fontId="18" fillId="7" borderId="0" xfId="1" applyNumberFormat="1" applyFont="1" applyFill="1" applyBorder="1" applyAlignment="1" applyProtection="1">
      <alignment horizontal="center" vertical="center" wrapText="1"/>
    </xf>
    <xf numFmtId="169" fontId="19" fillId="0" borderId="12" xfId="0" applyNumberFormat="1" applyFont="1" applyBorder="1" applyAlignment="1">
      <alignment horizontal="center" vertical="center" wrapText="1"/>
    </xf>
    <xf numFmtId="169" fontId="13" fillId="0" borderId="15" xfId="0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 wrapText="1"/>
    </xf>
    <xf numFmtId="167" fontId="20" fillId="7" borderId="0" xfId="0" applyNumberFormat="1" applyFont="1" applyFill="1" applyAlignment="1">
      <alignment horizontal="left" vertical="center"/>
    </xf>
    <xf numFmtId="0" fontId="20" fillId="7" borderId="0" xfId="0" applyFont="1" applyFill="1" applyAlignment="1">
      <alignment vertical="center"/>
    </xf>
    <xf numFmtId="0" fontId="20" fillId="7" borderId="0" xfId="0" applyFont="1" applyFill="1" applyAlignment="1">
      <alignment horizontal="center" vertical="center"/>
    </xf>
    <xf numFmtId="169" fontId="18" fillId="7" borderId="0" xfId="1" applyFont="1" applyFill="1" applyBorder="1" applyAlignment="1" applyProtection="1">
      <alignment horizontal="center" vertical="center" wrapText="1"/>
    </xf>
    <xf numFmtId="169" fontId="20" fillId="7" borderId="0" xfId="0" applyNumberFormat="1" applyFont="1" applyFill="1" applyAlignment="1">
      <alignment horizontal="center" vertical="center"/>
    </xf>
    <xf numFmtId="14" fontId="19" fillId="2" borderId="0" xfId="0" applyNumberFormat="1" applyFont="1" applyFill="1" applyAlignment="1">
      <alignment horizontal="center" vertical="center" wrapText="1"/>
    </xf>
    <xf numFmtId="169" fontId="13" fillId="0" borderId="0" xfId="0" applyNumberFormat="1" applyFont="1" applyAlignment="1">
      <alignment horizontal="center" vertical="center"/>
    </xf>
    <xf numFmtId="170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9" fontId="19" fillId="0" borderId="0" xfId="1" applyFont="1" applyBorder="1" applyAlignment="1" applyProtection="1">
      <alignment horizontal="center" vertical="center" wrapText="1"/>
    </xf>
    <xf numFmtId="171" fontId="19" fillId="0" borderId="13" xfId="0" applyNumberFormat="1" applyFont="1" applyBorder="1" applyAlignment="1">
      <alignment horizontal="left" vertical="center" wrapText="1"/>
    </xf>
    <xf numFmtId="0" fontId="18" fillId="7" borderId="14" xfId="0" applyFont="1" applyFill="1" applyBorder="1" applyAlignment="1">
      <alignment horizontal="left" vertical="center"/>
    </xf>
    <xf numFmtId="0" fontId="19" fillId="0" borderId="13" xfId="0" applyFont="1" applyBorder="1" applyAlignment="1">
      <alignment horizontal="left" vertical="center" wrapText="1"/>
    </xf>
    <xf numFmtId="0" fontId="18" fillId="7" borderId="0" xfId="0" applyFont="1" applyFill="1" applyAlignment="1">
      <alignment horizontal="left" vertical="center" wrapText="1"/>
    </xf>
    <xf numFmtId="171" fontId="19" fillId="0" borderId="14" xfId="0" applyNumberFormat="1" applyFont="1" applyBorder="1" applyAlignment="1">
      <alignment horizontal="left" vertical="center" wrapText="1"/>
    </xf>
    <xf numFmtId="0" fontId="18" fillId="7" borderId="6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26"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3D85C6"/>
      <rgbColor rgb="FFB7B7B7"/>
      <rgbColor rgb="FF7F7F7F"/>
      <rgbColor rgb="FF8FAADC"/>
      <rgbColor rgb="FF993366"/>
      <rgbColor rgb="FFFFF1CC"/>
      <rgbColor rgb="FFD2FCF9"/>
      <rgbColor rgb="FF660066"/>
      <rgbColor rgb="FFFF8080"/>
      <rgbColor rgb="FF0B5394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D9D9"/>
      <rgbColor rgb="FFFBE8E7"/>
      <rgbColor rgb="FFCCCCCC"/>
      <rgbColor rgb="FFFF99CC"/>
      <rgbColor rgb="FFA6A6A6"/>
      <rgbColor rgb="FFF2EAFF"/>
      <rgbColor rgb="FF2F75B5"/>
      <rgbColor rgb="FF33CCCC"/>
      <rgbColor rgb="FF99CC00"/>
      <rgbColor rgb="FFFFC000"/>
      <rgbColor rgb="FFFF9900"/>
      <rgbColor rgb="FFFF6600"/>
      <rgbColor rgb="FF666666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</sheetPr>
  <dimension ref="A1:AMJ42"/>
  <sheetViews>
    <sheetView showGridLines="0" tabSelected="1" topLeftCell="A4" zoomScale="115" zoomScaleNormal="115" workbookViewId="0">
      <selection activeCell="H41" sqref="H41"/>
    </sheetView>
  </sheetViews>
  <sheetFormatPr baseColWidth="10" defaultColWidth="14.42578125" defaultRowHeight="12.75" outlineLevelRow="1" x14ac:dyDescent="0.2"/>
  <cols>
    <col min="1" max="1" width="2.28515625" style="15" customWidth="1"/>
    <col min="2" max="2" width="8" style="15" customWidth="1"/>
    <col min="3" max="3" width="5.140625" style="15" customWidth="1"/>
    <col min="4" max="4" width="37.85546875" style="15" customWidth="1"/>
    <col min="5" max="11" width="15.28515625" style="15" customWidth="1"/>
    <col min="12" max="13" width="9" style="15" customWidth="1"/>
    <col min="14" max="14" width="10.7109375" style="16" customWidth="1"/>
    <col min="15" max="15" width="11.85546875" style="15" customWidth="1"/>
    <col min="16" max="16" width="12.42578125" style="15" customWidth="1"/>
    <col min="17" max="37" width="8" style="15" customWidth="1"/>
    <col min="38" max="59" width="9.7109375" style="15" customWidth="1"/>
    <col min="60" max="81" width="9.42578125" style="15" customWidth="1"/>
    <col min="82" max="103" width="7.42578125" style="15" customWidth="1"/>
    <col min="104" max="1024" width="14.42578125" style="15"/>
  </cols>
  <sheetData>
    <row r="1" spans="1:103" ht="21" customHeight="1" x14ac:dyDescent="0.2">
      <c r="A1" s="17"/>
      <c r="B1" s="14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8"/>
      <c r="Q1" s="13"/>
      <c r="R1" s="13"/>
      <c r="S1" s="13"/>
      <c r="T1" s="13"/>
      <c r="U1" s="13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7"/>
    </row>
    <row r="2" spans="1:103" ht="21" customHeight="1" x14ac:dyDescent="0.2">
      <c r="A2" s="17"/>
      <c r="B2" s="19"/>
      <c r="C2" s="19"/>
      <c r="D2" s="19"/>
      <c r="E2" s="19"/>
      <c r="F2" s="19"/>
      <c r="G2" s="19"/>
      <c r="H2" s="19"/>
      <c r="I2" s="19"/>
      <c r="J2" s="19"/>
      <c r="K2" s="19"/>
      <c r="L2" s="20"/>
      <c r="M2" s="20"/>
      <c r="N2" s="21"/>
      <c r="O2" s="20"/>
      <c r="P2" s="20"/>
      <c r="Q2" s="22"/>
      <c r="R2" s="22"/>
      <c r="S2" s="22"/>
      <c r="T2" s="22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 spans="1:103" ht="21" customHeight="1" x14ac:dyDescent="0.2">
      <c r="A3" s="17"/>
      <c r="B3" s="11" t="s">
        <v>1</v>
      </c>
      <c r="C3" s="11"/>
      <c r="D3" s="11"/>
      <c r="E3" s="10" t="s">
        <v>2</v>
      </c>
      <c r="F3" s="10"/>
      <c r="G3" s="10"/>
      <c r="H3" s="10"/>
      <c r="I3" s="23"/>
      <c r="J3" s="23"/>
      <c r="K3" s="23"/>
      <c r="O3" s="24"/>
      <c r="P3" s="24"/>
      <c r="Q3" s="11" t="s">
        <v>3</v>
      </c>
      <c r="R3" s="11"/>
      <c r="S3" s="11"/>
      <c r="T3" s="11"/>
      <c r="U3" s="11"/>
      <c r="V3" s="11"/>
      <c r="W3" s="9" t="s">
        <v>4</v>
      </c>
      <c r="X3" s="9"/>
      <c r="Y3" s="9"/>
      <c r="Z3" s="9"/>
      <c r="AA3" s="9"/>
      <c r="AB3" s="9"/>
      <c r="AC3" s="9"/>
      <c r="AD3" s="9"/>
      <c r="AE3" s="9"/>
      <c r="AF3" s="9"/>
      <c r="AG3" s="17"/>
    </row>
    <row r="4" spans="1:103" ht="21" customHeight="1" x14ac:dyDescent="0.2">
      <c r="A4" s="17"/>
      <c r="B4" s="11" t="s">
        <v>5</v>
      </c>
      <c r="C4" s="11"/>
      <c r="D4" s="11"/>
      <c r="E4" s="8" t="s">
        <v>6</v>
      </c>
      <c r="F4" s="8"/>
      <c r="G4" s="8"/>
      <c r="H4" s="8"/>
      <c r="I4" s="23"/>
      <c r="J4" s="23"/>
      <c r="K4" s="23"/>
      <c r="O4" s="25"/>
      <c r="P4" s="25"/>
      <c r="Q4" s="11" t="s">
        <v>7</v>
      </c>
      <c r="R4" s="11"/>
      <c r="S4" s="11"/>
      <c r="T4" s="11"/>
      <c r="U4" s="11"/>
      <c r="V4" s="11"/>
      <c r="W4" s="7">
        <v>46044</v>
      </c>
      <c r="X4" s="7"/>
      <c r="Y4" s="7"/>
      <c r="Z4" s="7"/>
      <c r="AA4" s="7"/>
      <c r="AB4" s="7"/>
      <c r="AC4" s="7"/>
      <c r="AD4" s="7"/>
      <c r="AE4" s="7"/>
      <c r="AF4" s="7"/>
      <c r="AG4" s="17"/>
    </row>
    <row r="5" spans="1:103" ht="21" customHeight="1" x14ac:dyDescent="0.2">
      <c r="A5" s="17"/>
      <c r="B5" s="11" t="s">
        <v>8</v>
      </c>
      <c r="C5" s="11"/>
      <c r="D5" s="11"/>
      <c r="E5" s="26" t="s">
        <v>9</v>
      </c>
      <c r="F5" s="26"/>
      <c r="G5" s="26"/>
      <c r="H5" s="26"/>
      <c r="I5" s="27"/>
      <c r="J5" s="27"/>
      <c r="K5" s="27"/>
      <c r="O5" s="27"/>
      <c r="P5" s="27"/>
      <c r="Q5" s="6"/>
      <c r="R5" s="6"/>
      <c r="S5" s="6"/>
      <c r="T5" s="6"/>
      <c r="U5" s="6"/>
      <c r="V5" s="6"/>
      <c r="W5" s="6"/>
      <c r="X5" s="27"/>
      <c r="Y5" s="27"/>
      <c r="Z5" s="27"/>
      <c r="AA5" s="27"/>
      <c r="AB5" s="27"/>
      <c r="AC5" s="27"/>
      <c r="AD5" s="26"/>
      <c r="AE5" s="26"/>
      <c r="AF5" s="26"/>
      <c r="AG5" s="26"/>
      <c r="AH5" s="26"/>
      <c r="AI5" s="26"/>
      <c r="AJ5" s="26"/>
      <c r="AK5" s="26"/>
      <c r="AL5" s="26"/>
      <c r="AM5" s="17"/>
    </row>
    <row r="6" spans="1:103" ht="21" customHeight="1" x14ac:dyDescent="0.2">
      <c r="A6" s="17"/>
      <c r="B6" s="11" t="s">
        <v>10</v>
      </c>
      <c r="C6" s="11"/>
      <c r="D6" s="11"/>
      <c r="E6" s="5">
        <v>45939</v>
      </c>
      <c r="F6" s="5"/>
      <c r="G6" s="5"/>
      <c r="H6" s="5"/>
      <c r="I6" s="28"/>
      <c r="J6" s="28"/>
      <c r="K6" s="28"/>
      <c r="O6" s="23"/>
      <c r="P6" s="23"/>
      <c r="Q6" s="23"/>
      <c r="R6" s="4"/>
      <c r="S6" s="4"/>
      <c r="T6" s="4"/>
      <c r="U6" s="4"/>
      <c r="V6" s="4"/>
      <c r="W6" s="4"/>
      <c r="X6" s="23"/>
      <c r="Y6" s="23"/>
      <c r="Z6" s="23"/>
      <c r="AA6" s="23"/>
      <c r="AB6" s="23"/>
      <c r="AC6" s="23"/>
      <c r="AD6" s="23"/>
      <c r="AE6" s="23"/>
      <c r="AF6" s="23"/>
      <c r="AG6" s="17"/>
    </row>
    <row r="7" spans="1:103" ht="21" customHeight="1" x14ac:dyDescent="0.2">
      <c r="A7" s="17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9"/>
      <c r="O7" s="29"/>
      <c r="P7" s="29"/>
      <c r="Q7" s="22"/>
      <c r="R7" s="22"/>
      <c r="S7" s="22"/>
      <c r="T7" s="22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</row>
    <row r="8" spans="1:103" ht="23.25" customHeight="1" x14ac:dyDescent="0.2">
      <c r="A8" s="30"/>
      <c r="B8" s="3" t="s">
        <v>11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3" t="s">
        <v>21</v>
      </c>
      <c r="M8" s="3" t="s">
        <v>22</v>
      </c>
      <c r="N8" s="3" t="s">
        <v>23</v>
      </c>
      <c r="O8" s="3" t="s">
        <v>24</v>
      </c>
      <c r="P8" s="3" t="s">
        <v>25</v>
      </c>
      <c r="Q8" s="31">
        <f t="shared" ref="Q8:AV8" si="0">Q10</f>
        <v>45939</v>
      </c>
      <c r="R8" s="31">
        <f t="shared" si="0"/>
        <v>45940</v>
      </c>
      <c r="S8" s="31">
        <f t="shared" si="0"/>
        <v>45943</v>
      </c>
      <c r="T8" s="31">
        <f t="shared" si="0"/>
        <v>45944</v>
      </c>
      <c r="U8" s="31">
        <f t="shared" si="0"/>
        <v>45945</v>
      </c>
      <c r="V8" s="31">
        <f t="shared" si="0"/>
        <v>45946</v>
      </c>
      <c r="W8" s="31">
        <f t="shared" si="0"/>
        <v>45947</v>
      </c>
      <c r="X8" s="31">
        <f t="shared" si="0"/>
        <v>45950</v>
      </c>
      <c r="Y8" s="31">
        <f t="shared" si="0"/>
        <v>45951</v>
      </c>
      <c r="Z8" s="31">
        <f t="shared" si="0"/>
        <v>45952</v>
      </c>
      <c r="AA8" s="31">
        <f t="shared" si="0"/>
        <v>45953</v>
      </c>
      <c r="AB8" s="31">
        <f t="shared" si="0"/>
        <v>45954</v>
      </c>
      <c r="AC8" s="31">
        <f t="shared" si="0"/>
        <v>45957</v>
      </c>
      <c r="AD8" s="31">
        <f t="shared" si="0"/>
        <v>45958</v>
      </c>
      <c r="AE8" s="31">
        <f t="shared" si="0"/>
        <v>45959</v>
      </c>
      <c r="AF8" s="31">
        <f t="shared" si="0"/>
        <v>45960</v>
      </c>
      <c r="AG8" s="31">
        <f t="shared" si="0"/>
        <v>45961</v>
      </c>
      <c r="AH8" s="31">
        <f t="shared" si="0"/>
        <v>45964</v>
      </c>
      <c r="AI8" s="31">
        <f t="shared" si="0"/>
        <v>45965</v>
      </c>
      <c r="AJ8" s="31">
        <f t="shared" si="0"/>
        <v>45966</v>
      </c>
      <c r="AK8" s="31">
        <f t="shared" si="0"/>
        <v>45967</v>
      </c>
      <c r="AL8" s="31">
        <f t="shared" si="0"/>
        <v>45968</v>
      </c>
      <c r="AM8" s="31">
        <f t="shared" si="0"/>
        <v>45971</v>
      </c>
      <c r="AN8" s="31">
        <f t="shared" si="0"/>
        <v>45972</v>
      </c>
      <c r="AO8" s="31">
        <f t="shared" si="0"/>
        <v>45973</v>
      </c>
      <c r="AP8" s="31">
        <f t="shared" si="0"/>
        <v>45974</v>
      </c>
      <c r="AQ8" s="31">
        <f t="shared" si="0"/>
        <v>45975</v>
      </c>
      <c r="AR8" s="31">
        <f t="shared" si="0"/>
        <v>45978</v>
      </c>
      <c r="AS8" s="31">
        <f t="shared" si="0"/>
        <v>45979</v>
      </c>
      <c r="AT8" s="31">
        <f t="shared" si="0"/>
        <v>45980</v>
      </c>
      <c r="AU8" s="31">
        <f t="shared" si="0"/>
        <v>45981</v>
      </c>
      <c r="AV8" s="31">
        <f t="shared" si="0"/>
        <v>45982</v>
      </c>
      <c r="AW8" s="31">
        <f t="shared" ref="AW8:CB8" si="1">AW10</f>
        <v>45985</v>
      </c>
      <c r="AX8" s="31">
        <f t="shared" si="1"/>
        <v>45986</v>
      </c>
      <c r="AY8" s="31">
        <f t="shared" si="1"/>
        <v>45987</v>
      </c>
      <c r="AZ8" s="31">
        <f t="shared" si="1"/>
        <v>45988</v>
      </c>
      <c r="BA8" s="31">
        <f t="shared" si="1"/>
        <v>45989</v>
      </c>
      <c r="BB8" s="31">
        <f t="shared" si="1"/>
        <v>45992</v>
      </c>
      <c r="BC8" s="31">
        <f t="shared" si="1"/>
        <v>45993</v>
      </c>
      <c r="BD8" s="31">
        <f t="shared" si="1"/>
        <v>45994</v>
      </c>
      <c r="BE8" s="31">
        <f t="shared" si="1"/>
        <v>45995</v>
      </c>
      <c r="BF8" s="31">
        <f t="shared" si="1"/>
        <v>45996</v>
      </c>
      <c r="BG8" s="31">
        <f t="shared" si="1"/>
        <v>45999</v>
      </c>
      <c r="BH8" s="31">
        <f t="shared" si="1"/>
        <v>46000</v>
      </c>
      <c r="BI8" s="31">
        <f t="shared" si="1"/>
        <v>46001</v>
      </c>
      <c r="BJ8" s="31">
        <f t="shared" si="1"/>
        <v>46002</v>
      </c>
      <c r="BK8" s="31">
        <f t="shared" si="1"/>
        <v>46003</v>
      </c>
      <c r="BL8" s="31">
        <f t="shared" si="1"/>
        <v>46006</v>
      </c>
      <c r="BM8" s="31">
        <f t="shared" si="1"/>
        <v>46007</v>
      </c>
      <c r="BN8" s="31">
        <f t="shared" si="1"/>
        <v>46008</v>
      </c>
      <c r="BO8" s="31">
        <f t="shared" si="1"/>
        <v>46009</v>
      </c>
      <c r="BP8" s="31">
        <f t="shared" si="1"/>
        <v>46010</v>
      </c>
      <c r="BQ8" s="31">
        <f t="shared" si="1"/>
        <v>46013</v>
      </c>
      <c r="BR8" s="31">
        <f t="shared" si="1"/>
        <v>46014</v>
      </c>
      <c r="BS8" s="31">
        <f t="shared" si="1"/>
        <v>46015</v>
      </c>
      <c r="BT8" s="31">
        <f t="shared" si="1"/>
        <v>46016</v>
      </c>
      <c r="BU8" s="31">
        <f t="shared" si="1"/>
        <v>46017</v>
      </c>
      <c r="BV8" s="31">
        <f t="shared" si="1"/>
        <v>46020</v>
      </c>
      <c r="BW8" s="31">
        <f t="shared" si="1"/>
        <v>46021</v>
      </c>
      <c r="BX8" s="31">
        <f t="shared" si="1"/>
        <v>46022</v>
      </c>
      <c r="BY8" s="31">
        <f t="shared" si="1"/>
        <v>46023</v>
      </c>
      <c r="BZ8" s="31">
        <f t="shared" si="1"/>
        <v>46024</v>
      </c>
      <c r="CA8" s="31">
        <f t="shared" si="1"/>
        <v>46027</v>
      </c>
      <c r="CB8" s="31">
        <f t="shared" si="1"/>
        <v>46028</v>
      </c>
      <c r="CC8" s="31">
        <f t="shared" ref="CC8:CY8" si="2">CC10</f>
        <v>46029</v>
      </c>
      <c r="CD8" s="31">
        <f t="shared" si="2"/>
        <v>46030</v>
      </c>
      <c r="CE8" s="31">
        <f t="shared" si="2"/>
        <v>46031</v>
      </c>
      <c r="CF8" s="31">
        <f t="shared" si="2"/>
        <v>46034</v>
      </c>
      <c r="CG8" s="31">
        <f t="shared" si="2"/>
        <v>46035</v>
      </c>
      <c r="CH8" s="31">
        <f t="shared" si="2"/>
        <v>46036</v>
      </c>
      <c r="CI8" s="31">
        <f t="shared" si="2"/>
        <v>46037</v>
      </c>
      <c r="CJ8" s="31">
        <f t="shared" si="2"/>
        <v>46038</v>
      </c>
      <c r="CK8" s="31">
        <f t="shared" si="2"/>
        <v>46041</v>
      </c>
      <c r="CL8" s="31">
        <f t="shared" si="2"/>
        <v>46042</v>
      </c>
      <c r="CM8" s="31">
        <f t="shared" si="2"/>
        <v>46043</v>
      </c>
      <c r="CN8" s="31">
        <f t="shared" si="2"/>
        <v>46044</v>
      </c>
      <c r="CO8" s="31">
        <f t="shared" si="2"/>
        <v>46045</v>
      </c>
      <c r="CP8" s="31">
        <f t="shared" si="2"/>
        <v>46048</v>
      </c>
      <c r="CQ8" s="31">
        <f t="shared" si="2"/>
        <v>46049</v>
      </c>
      <c r="CR8" s="31">
        <f t="shared" si="2"/>
        <v>46050</v>
      </c>
      <c r="CS8" s="31">
        <f t="shared" si="2"/>
        <v>46051</v>
      </c>
      <c r="CT8" s="31">
        <f t="shared" si="2"/>
        <v>46052</v>
      </c>
      <c r="CU8" s="31">
        <f t="shared" si="2"/>
        <v>46055</v>
      </c>
      <c r="CV8" s="31">
        <f t="shared" si="2"/>
        <v>46056</v>
      </c>
      <c r="CW8" s="31">
        <f t="shared" si="2"/>
        <v>46057</v>
      </c>
      <c r="CX8" s="31">
        <f t="shared" si="2"/>
        <v>46058</v>
      </c>
      <c r="CY8" s="31">
        <f t="shared" si="2"/>
        <v>46059</v>
      </c>
    </row>
    <row r="9" spans="1:103" ht="22.5" customHeight="1" x14ac:dyDescent="0.2">
      <c r="A9" s="3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3" t="str">
        <f t="shared" ref="Q9:AV9" si="3">"Sem"&amp;"-"&amp;(IF(WEEKNUM(Q10,2)&lt;=9,0,))&amp;WEEKNUM(Q10,2)-1</f>
        <v>Sem-40</v>
      </c>
      <c r="R9" s="33" t="str">
        <f t="shared" si="3"/>
        <v>Sem-40</v>
      </c>
      <c r="S9" s="33" t="str">
        <f t="shared" si="3"/>
        <v>Sem-41</v>
      </c>
      <c r="T9" s="33" t="str">
        <f t="shared" si="3"/>
        <v>Sem-41</v>
      </c>
      <c r="U9" s="33" t="str">
        <f t="shared" si="3"/>
        <v>Sem-41</v>
      </c>
      <c r="V9" s="33" t="str">
        <f t="shared" si="3"/>
        <v>Sem-41</v>
      </c>
      <c r="W9" s="33" t="str">
        <f t="shared" si="3"/>
        <v>Sem-41</v>
      </c>
      <c r="X9" s="33" t="str">
        <f t="shared" si="3"/>
        <v>Sem-42</v>
      </c>
      <c r="Y9" s="33" t="str">
        <f t="shared" si="3"/>
        <v>Sem-42</v>
      </c>
      <c r="Z9" s="33" t="str">
        <f t="shared" si="3"/>
        <v>Sem-42</v>
      </c>
      <c r="AA9" s="33" t="str">
        <f t="shared" si="3"/>
        <v>Sem-42</v>
      </c>
      <c r="AB9" s="33" t="str">
        <f t="shared" si="3"/>
        <v>Sem-42</v>
      </c>
      <c r="AC9" s="33" t="str">
        <f t="shared" si="3"/>
        <v>Sem-43</v>
      </c>
      <c r="AD9" s="33" t="str">
        <f t="shared" si="3"/>
        <v>Sem-43</v>
      </c>
      <c r="AE9" s="33" t="str">
        <f t="shared" si="3"/>
        <v>Sem-43</v>
      </c>
      <c r="AF9" s="33" t="str">
        <f t="shared" si="3"/>
        <v>Sem-43</v>
      </c>
      <c r="AG9" s="33" t="str">
        <f t="shared" si="3"/>
        <v>Sem-43</v>
      </c>
      <c r="AH9" s="33" t="str">
        <f t="shared" si="3"/>
        <v>Sem-44</v>
      </c>
      <c r="AI9" s="33" t="str">
        <f t="shared" si="3"/>
        <v>Sem-44</v>
      </c>
      <c r="AJ9" s="33" t="str">
        <f t="shared" si="3"/>
        <v>Sem-44</v>
      </c>
      <c r="AK9" s="33" t="str">
        <f t="shared" si="3"/>
        <v>Sem-44</v>
      </c>
      <c r="AL9" s="33" t="str">
        <f t="shared" si="3"/>
        <v>Sem-44</v>
      </c>
      <c r="AM9" s="33" t="str">
        <f t="shared" si="3"/>
        <v>Sem-45</v>
      </c>
      <c r="AN9" s="33" t="str">
        <f t="shared" si="3"/>
        <v>Sem-45</v>
      </c>
      <c r="AO9" s="33" t="str">
        <f t="shared" si="3"/>
        <v>Sem-45</v>
      </c>
      <c r="AP9" s="33" t="str">
        <f t="shared" si="3"/>
        <v>Sem-45</v>
      </c>
      <c r="AQ9" s="33" t="str">
        <f t="shared" si="3"/>
        <v>Sem-45</v>
      </c>
      <c r="AR9" s="33" t="str">
        <f t="shared" si="3"/>
        <v>Sem-46</v>
      </c>
      <c r="AS9" s="33" t="str">
        <f t="shared" si="3"/>
        <v>Sem-46</v>
      </c>
      <c r="AT9" s="33" t="str">
        <f t="shared" si="3"/>
        <v>Sem-46</v>
      </c>
      <c r="AU9" s="33" t="str">
        <f t="shared" si="3"/>
        <v>Sem-46</v>
      </c>
      <c r="AV9" s="33" t="str">
        <f t="shared" si="3"/>
        <v>Sem-46</v>
      </c>
      <c r="AW9" s="33" t="str">
        <f t="shared" ref="AW9:CB9" si="4">"Sem"&amp;"-"&amp;(IF(WEEKNUM(AW10,2)&lt;=9,0,))&amp;WEEKNUM(AW10,2)-1</f>
        <v>Sem-47</v>
      </c>
      <c r="AX9" s="33" t="str">
        <f t="shared" si="4"/>
        <v>Sem-47</v>
      </c>
      <c r="AY9" s="33" t="str">
        <f t="shared" si="4"/>
        <v>Sem-47</v>
      </c>
      <c r="AZ9" s="33" t="str">
        <f t="shared" si="4"/>
        <v>Sem-47</v>
      </c>
      <c r="BA9" s="33" t="str">
        <f t="shared" si="4"/>
        <v>Sem-47</v>
      </c>
      <c r="BB9" s="33" t="str">
        <f t="shared" si="4"/>
        <v>Sem-48</v>
      </c>
      <c r="BC9" s="33" t="str">
        <f t="shared" si="4"/>
        <v>Sem-48</v>
      </c>
      <c r="BD9" s="33" t="str">
        <f t="shared" si="4"/>
        <v>Sem-48</v>
      </c>
      <c r="BE9" s="33" t="str">
        <f t="shared" si="4"/>
        <v>Sem-48</v>
      </c>
      <c r="BF9" s="33" t="str">
        <f t="shared" si="4"/>
        <v>Sem-48</v>
      </c>
      <c r="BG9" s="33" t="str">
        <f t="shared" si="4"/>
        <v>Sem-49</v>
      </c>
      <c r="BH9" s="33" t="str">
        <f t="shared" si="4"/>
        <v>Sem-49</v>
      </c>
      <c r="BI9" s="33" t="str">
        <f t="shared" si="4"/>
        <v>Sem-49</v>
      </c>
      <c r="BJ9" s="33" t="str">
        <f t="shared" si="4"/>
        <v>Sem-49</v>
      </c>
      <c r="BK9" s="33" t="str">
        <f t="shared" si="4"/>
        <v>Sem-49</v>
      </c>
      <c r="BL9" s="33" t="str">
        <f t="shared" si="4"/>
        <v>Sem-50</v>
      </c>
      <c r="BM9" s="33" t="str">
        <f t="shared" si="4"/>
        <v>Sem-50</v>
      </c>
      <c r="BN9" s="33" t="str">
        <f t="shared" si="4"/>
        <v>Sem-50</v>
      </c>
      <c r="BO9" s="33" t="str">
        <f t="shared" si="4"/>
        <v>Sem-50</v>
      </c>
      <c r="BP9" s="33" t="str">
        <f t="shared" si="4"/>
        <v>Sem-50</v>
      </c>
      <c r="BQ9" s="33" t="str">
        <f t="shared" si="4"/>
        <v>Sem-51</v>
      </c>
      <c r="BR9" s="33" t="str">
        <f t="shared" si="4"/>
        <v>Sem-51</v>
      </c>
      <c r="BS9" s="33" t="str">
        <f t="shared" si="4"/>
        <v>Sem-51</v>
      </c>
      <c r="BT9" s="33" t="str">
        <f t="shared" si="4"/>
        <v>Sem-51</v>
      </c>
      <c r="BU9" s="33" t="str">
        <f t="shared" si="4"/>
        <v>Sem-51</v>
      </c>
      <c r="BV9" s="33" t="str">
        <f t="shared" si="4"/>
        <v>Sem-52</v>
      </c>
      <c r="BW9" s="33" t="str">
        <f t="shared" si="4"/>
        <v>Sem-52</v>
      </c>
      <c r="BX9" s="33" t="str">
        <f t="shared" si="4"/>
        <v>Sem-52</v>
      </c>
      <c r="BY9" s="33" t="str">
        <f t="shared" si="4"/>
        <v>Sem-00</v>
      </c>
      <c r="BZ9" s="33" t="str">
        <f t="shared" si="4"/>
        <v>Sem-00</v>
      </c>
      <c r="CA9" s="33" t="str">
        <f t="shared" si="4"/>
        <v>Sem-01</v>
      </c>
      <c r="CB9" s="33" t="str">
        <f t="shared" si="4"/>
        <v>Sem-01</v>
      </c>
      <c r="CC9" s="33" t="str">
        <f t="shared" ref="CC9:DH9" si="5">"Sem"&amp;"-"&amp;(IF(WEEKNUM(CC10,2)&lt;=9,0,))&amp;WEEKNUM(CC10,2)-1</f>
        <v>Sem-01</v>
      </c>
      <c r="CD9" s="33" t="str">
        <f t="shared" si="5"/>
        <v>Sem-01</v>
      </c>
      <c r="CE9" s="33" t="str">
        <f t="shared" si="5"/>
        <v>Sem-01</v>
      </c>
      <c r="CF9" s="33" t="str">
        <f t="shared" si="5"/>
        <v>Sem-02</v>
      </c>
      <c r="CG9" s="33" t="str">
        <f t="shared" si="5"/>
        <v>Sem-02</v>
      </c>
      <c r="CH9" s="33" t="str">
        <f t="shared" si="5"/>
        <v>Sem-02</v>
      </c>
      <c r="CI9" s="33" t="str">
        <f t="shared" si="5"/>
        <v>Sem-02</v>
      </c>
      <c r="CJ9" s="33" t="str">
        <f t="shared" si="5"/>
        <v>Sem-02</v>
      </c>
      <c r="CK9" s="33" t="str">
        <f t="shared" si="5"/>
        <v>Sem-03</v>
      </c>
      <c r="CL9" s="33" t="str">
        <f t="shared" si="5"/>
        <v>Sem-03</v>
      </c>
      <c r="CM9" s="33" t="str">
        <f t="shared" si="5"/>
        <v>Sem-03</v>
      </c>
      <c r="CN9" s="33" t="str">
        <f t="shared" si="5"/>
        <v>Sem-03</v>
      </c>
      <c r="CO9" s="33" t="str">
        <f t="shared" si="5"/>
        <v>Sem-03</v>
      </c>
      <c r="CP9" s="33" t="str">
        <f t="shared" si="5"/>
        <v>Sem-04</v>
      </c>
      <c r="CQ9" s="33" t="str">
        <f t="shared" si="5"/>
        <v>Sem-04</v>
      </c>
      <c r="CR9" s="33" t="str">
        <f t="shared" si="5"/>
        <v>Sem-04</v>
      </c>
      <c r="CS9" s="33" t="str">
        <f t="shared" si="5"/>
        <v>Sem-04</v>
      </c>
      <c r="CT9" s="33" t="str">
        <f t="shared" si="5"/>
        <v>Sem-04</v>
      </c>
      <c r="CU9" s="33" t="str">
        <f t="shared" si="5"/>
        <v>Sem-05</v>
      </c>
      <c r="CV9" s="33" t="str">
        <f t="shared" si="5"/>
        <v>Sem-05</v>
      </c>
      <c r="CW9" s="33" t="str">
        <f t="shared" si="5"/>
        <v>Sem-05</v>
      </c>
      <c r="CX9" s="33" t="str">
        <f t="shared" si="5"/>
        <v>Sem-05</v>
      </c>
      <c r="CY9" s="33" t="str">
        <f t="shared" si="5"/>
        <v>Sem-05</v>
      </c>
    </row>
    <row r="10" spans="1:103" ht="22.5" customHeight="1" x14ac:dyDescent="0.2">
      <c r="A10" s="3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4">
        <f>E6</f>
        <v>45939</v>
      </c>
      <c r="R10" s="34">
        <f t="shared" ref="R10:AW10" si="6">WORKDAY(Q10,1)</f>
        <v>45940</v>
      </c>
      <c r="S10" s="34">
        <f t="shared" si="6"/>
        <v>45943</v>
      </c>
      <c r="T10" s="34">
        <f t="shared" si="6"/>
        <v>45944</v>
      </c>
      <c r="U10" s="34">
        <f t="shared" si="6"/>
        <v>45945</v>
      </c>
      <c r="V10" s="34">
        <f t="shared" si="6"/>
        <v>45946</v>
      </c>
      <c r="W10" s="34">
        <f t="shared" si="6"/>
        <v>45947</v>
      </c>
      <c r="X10" s="34">
        <f t="shared" si="6"/>
        <v>45950</v>
      </c>
      <c r="Y10" s="34">
        <f t="shared" si="6"/>
        <v>45951</v>
      </c>
      <c r="Z10" s="34">
        <f t="shared" si="6"/>
        <v>45952</v>
      </c>
      <c r="AA10" s="34">
        <f t="shared" si="6"/>
        <v>45953</v>
      </c>
      <c r="AB10" s="34">
        <f t="shared" si="6"/>
        <v>45954</v>
      </c>
      <c r="AC10" s="34">
        <f t="shared" si="6"/>
        <v>45957</v>
      </c>
      <c r="AD10" s="34">
        <f t="shared" si="6"/>
        <v>45958</v>
      </c>
      <c r="AE10" s="34">
        <f t="shared" si="6"/>
        <v>45959</v>
      </c>
      <c r="AF10" s="34">
        <f t="shared" si="6"/>
        <v>45960</v>
      </c>
      <c r="AG10" s="34">
        <f t="shared" si="6"/>
        <v>45961</v>
      </c>
      <c r="AH10" s="34">
        <f t="shared" si="6"/>
        <v>45964</v>
      </c>
      <c r="AI10" s="34">
        <f t="shared" si="6"/>
        <v>45965</v>
      </c>
      <c r="AJ10" s="34">
        <f t="shared" si="6"/>
        <v>45966</v>
      </c>
      <c r="AK10" s="34">
        <f t="shared" si="6"/>
        <v>45967</v>
      </c>
      <c r="AL10" s="34">
        <f t="shared" si="6"/>
        <v>45968</v>
      </c>
      <c r="AM10" s="34">
        <f t="shared" si="6"/>
        <v>45971</v>
      </c>
      <c r="AN10" s="34">
        <f t="shared" si="6"/>
        <v>45972</v>
      </c>
      <c r="AO10" s="34">
        <f t="shared" si="6"/>
        <v>45973</v>
      </c>
      <c r="AP10" s="34">
        <f t="shared" si="6"/>
        <v>45974</v>
      </c>
      <c r="AQ10" s="34">
        <f t="shared" si="6"/>
        <v>45975</v>
      </c>
      <c r="AR10" s="34">
        <f t="shared" si="6"/>
        <v>45978</v>
      </c>
      <c r="AS10" s="34">
        <f t="shared" si="6"/>
        <v>45979</v>
      </c>
      <c r="AT10" s="34">
        <f t="shared" si="6"/>
        <v>45980</v>
      </c>
      <c r="AU10" s="34">
        <f t="shared" si="6"/>
        <v>45981</v>
      </c>
      <c r="AV10" s="34">
        <f t="shared" si="6"/>
        <v>45982</v>
      </c>
      <c r="AW10" s="34">
        <f t="shared" si="6"/>
        <v>45985</v>
      </c>
      <c r="AX10" s="34">
        <f t="shared" ref="AX10:CC10" si="7">WORKDAY(AW10,1)</f>
        <v>45986</v>
      </c>
      <c r="AY10" s="34">
        <f t="shared" si="7"/>
        <v>45987</v>
      </c>
      <c r="AZ10" s="34">
        <f t="shared" si="7"/>
        <v>45988</v>
      </c>
      <c r="BA10" s="34">
        <f t="shared" si="7"/>
        <v>45989</v>
      </c>
      <c r="BB10" s="34">
        <f t="shared" si="7"/>
        <v>45992</v>
      </c>
      <c r="BC10" s="34">
        <f t="shared" si="7"/>
        <v>45993</v>
      </c>
      <c r="BD10" s="34">
        <f t="shared" si="7"/>
        <v>45994</v>
      </c>
      <c r="BE10" s="34">
        <f t="shared" si="7"/>
        <v>45995</v>
      </c>
      <c r="BF10" s="34">
        <f t="shared" si="7"/>
        <v>45996</v>
      </c>
      <c r="BG10" s="34">
        <f t="shared" si="7"/>
        <v>45999</v>
      </c>
      <c r="BH10" s="34">
        <f t="shared" si="7"/>
        <v>46000</v>
      </c>
      <c r="BI10" s="34">
        <f t="shared" si="7"/>
        <v>46001</v>
      </c>
      <c r="BJ10" s="34">
        <f t="shared" si="7"/>
        <v>46002</v>
      </c>
      <c r="BK10" s="34">
        <f t="shared" si="7"/>
        <v>46003</v>
      </c>
      <c r="BL10" s="34">
        <f t="shared" si="7"/>
        <v>46006</v>
      </c>
      <c r="BM10" s="34">
        <f t="shared" si="7"/>
        <v>46007</v>
      </c>
      <c r="BN10" s="34">
        <f t="shared" si="7"/>
        <v>46008</v>
      </c>
      <c r="BO10" s="34">
        <f t="shared" si="7"/>
        <v>46009</v>
      </c>
      <c r="BP10" s="34">
        <f t="shared" si="7"/>
        <v>46010</v>
      </c>
      <c r="BQ10" s="34">
        <f t="shared" si="7"/>
        <v>46013</v>
      </c>
      <c r="BR10" s="34">
        <f t="shared" si="7"/>
        <v>46014</v>
      </c>
      <c r="BS10" s="34">
        <f t="shared" si="7"/>
        <v>46015</v>
      </c>
      <c r="BT10" s="34">
        <f t="shared" si="7"/>
        <v>46016</v>
      </c>
      <c r="BU10" s="34">
        <f t="shared" si="7"/>
        <v>46017</v>
      </c>
      <c r="BV10" s="34">
        <f t="shared" si="7"/>
        <v>46020</v>
      </c>
      <c r="BW10" s="34">
        <f t="shared" si="7"/>
        <v>46021</v>
      </c>
      <c r="BX10" s="34">
        <f t="shared" si="7"/>
        <v>46022</v>
      </c>
      <c r="BY10" s="34">
        <f t="shared" si="7"/>
        <v>46023</v>
      </c>
      <c r="BZ10" s="34">
        <f t="shared" si="7"/>
        <v>46024</v>
      </c>
      <c r="CA10" s="34">
        <f t="shared" si="7"/>
        <v>46027</v>
      </c>
      <c r="CB10" s="34">
        <f t="shared" si="7"/>
        <v>46028</v>
      </c>
      <c r="CC10" s="34">
        <f t="shared" si="7"/>
        <v>46029</v>
      </c>
      <c r="CD10" s="34">
        <f t="shared" ref="CD10:CY10" si="8">WORKDAY(CC10,1)</f>
        <v>46030</v>
      </c>
      <c r="CE10" s="34">
        <f t="shared" si="8"/>
        <v>46031</v>
      </c>
      <c r="CF10" s="34">
        <f t="shared" si="8"/>
        <v>46034</v>
      </c>
      <c r="CG10" s="34">
        <f t="shared" si="8"/>
        <v>46035</v>
      </c>
      <c r="CH10" s="34">
        <f t="shared" si="8"/>
        <v>46036</v>
      </c>
      <c r="CI10" s="34">
        <f t="shared" si="8"/>
        <v>46037</v>
      </c>
      <c r="CJ10" s="34">
        <f t="shared" si="8"/>
        <v>46038</v>
      </c>
      <c r="CK10" s="34">
        <f t="shared" si="8"/>
        <v>46041</v>
      </c>
      <c r="CL10" s="34">
        <f t="shared" si="8"/>
        <v>46042</v>
      </c>
      <c r="CM10" s="34">
        <f t="shared" si="8"/>
        <v>46043</v>
      </c>
      <c r="CN10" s="34">
        <f t="shared" si="8"/>
        <v>46044</v>
      </c>
      <c r="CO10" s="34">
        <f t="shared" si="8"/>
        <v>46045</v>
      </c>
      <c r="CP10" s="34">
        <f t="shared" si="8"/>
        <v>46048</v>
      </c>
      <c r="CQ10" s="34">
        <f t="shared" si="8"/>
        <v>46049</v>
      </c>
      <c r="CR10" s="34">
        <f t="shared" si="8"/>
        <v>46050</v>
      </c>
      <c r="CS10" s="34">
        <f t="shared" si="8"/>
        <v>46051</v>
      </c>
      <c r="CT10" s="34">
        <f t="shared" si="8"/>
        <v>46052</v>
      </c>
      <c r="CU10" s="34">
        <f t="shared" si="8"/>
        <v>46055</v>
      </c>
      <c r="CV10" s="34">
        <f t="shared" si="8"/>
        <v>46056</v>
      </c>
      <c r="CW10" s="34">
        <f t="shared" si="8"/>
        <v>46057</v>
      </c>
      <c r="CX10" s="34">
        <f t="shared" si="8"/>
        <v>46058</v>
      </c>
      <c r="CY10" s="34">
        <f t="shared" si="8"/>
        <v>46059</v>
      </c>
    </row>
    <row r="11" spans="1:103" s="48" customFormat="1" ht="21" customHeight="1" x14ac:dyDescent="0.2">
      <c r="A11" s="35" t="s">
        <v>26</v>
      </c>
      <c r="B11" s="36"/>
      <c r="C11" s="37"/>
      <c r="D11" s="38" t="s">
        <v>27</v>
      </c>
      <c r="E11" s="38"/>
      <c r="F11" s="38"/>
      <c r="G11" s="38"/>
      <c r="H11" s="38"/>
      <c r="I11" s="38"/>
      <c r="J11" s="38"/>
      <c r="K11" s="38"/>
      <c r="L11" s="39" t="str">
        <f>IF(MIN(L12:L31)&gt;0,MIN(L12:L31),"")</f>
        <v/>
      </c>
      <c r="M11" s="39" t="str">
        <f>IF(MAX(M12:M31)&gt;0,MAX(M12:M31),"")</f>
        <v/>
      </c>
      <c r="N11" s="40" t="e">
        <f>IF(OR(L11=0,M11=0),"",NETWORKDAYS(L11,M11))</f>
        <v>#VALUE!</v>
      </c>
      <c r="O11" s="41" t="e">
        <v>#NAME?</v>
      </c>
      <c r="P11" s="42"/>
      <c r="Q11" s="43"/>
      <c r="R11" s="44"/>
      <c r="S11" s="45"/>
      <c r="T11" s="45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6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</row>
    <row r="12" spans="1:103" s="61" customFormat="1" ht="21" customHeight="1" x14ac:dyDescent="0.2">
      <c r="A12" s="49"/>
      <c r="B12" s="50">
        <v>1</v>
      </c>
      <c r="C12" s="2" t="s">
        <v>28</v>
      </c>
      <c r="D12" s="2"/>
      <c r="E12" s="105" t="s">
        <v>75</v>
      </c>
      <c r="F12" s="105" t="s">
        <v>76</v>
      </c>
      <c r="G12" s="105" t="s">
        <v>77</v>
      </c>
      <c r="H12" s="105" t="s">
        <v>78</v>
      </c>
      <c r="I12" s="51"/>
      <c r="J12" s="51"/>
      <c r="K12" s="51"/>
      <c r="L12" s="52" t="str">
        <f>IF(MIN(L13:L15)&gt;0,MIN(L13:L15),"")</f>
        <v/>
      </c>
      <c r="M12" s="52" t="str">
        <f>IF(MAX(M13:M15)&gt;0,MAX(M13:M15),"")</f>
        <v/>
      </c>
      <c r="N12" s="53" t="e">
        <f>IF(OR(L12=0,M12=0),"",NETWORKDAYS(L12,M12))</f>
        <v>#VALUE!</v>
      </c>
      <c r="O12" s="54">
        <f>AVERAGE(O13:O15)</f>
        <v>1</v>
      </c>
      <c r="P12" s="55"/>
      <c r="Q12" s="56"/>
      <c r="R12" s="57"/>
      <c r="S12" s="58"/>
      <c r="T12" s="58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9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60"/>
      <c r="BR12" s="60"/>
      <c r="BS12" s="60"/>
      <c r="BT12" s="60"/>
      <c r="BU12" s="60"/>
      <c r="BV12" s="60"/>
      <c r="BW12" s="60"/>
      <c r="BX12" s="60"/>
      <c r="BY12" s="60"/>
      <c r="BZ12" s="60"/>
      <c r="CA12" s="60"/>
      <c r="CB12" s="60"/>
      <c r="CC12" s="60"/>
      <c r="CD12" s="60"/>
      <c r="CE12" s="60"/>
      <c r="CF12" s="60"/>
      <c r="CG12" s="60"/>
      <c r="CH12" s="60"/>
      <c r="CI12" s="60"/>
      <c r="CJ12" s="60"/>
      <c r="CK12" s="60"/>
      <c r="CL12" s="60"/>
      <c r="CM12" s="60"/>
      <c r="CN12" s="60"/>
      <c r="CO12" s="60"/>
      <c r="CP12" s="60"/>
      <c r="CQ12" s="60"/>
      <c r="CR12" s="60"/>
      <c r="CS12" s="60"/>
      <c r="CT12" s="60"/>
      <c r="CU12" s="60"/>
      <c r="CV12" s="60"/>
      <c r="CW12" s="60"/>
      <c r="CX12" s="60"/>
      <c r="CY12" s="60"/>
    </row>
    <row r="13" spans="1:103" ht="17.25" customHeight="1" outlineLevel="1" x14ac:dyDescent="0.2">
      <c r="A13" s="62" t="s">
        <v>29</v>
      </c>
      <c r="B13" s="63" t="s">
        <v>30</v>
      </c>
      <c r="C13" s="1" t="s">
        <v>31</v>
      </c>
      <c r="D13" s="1"/>
      <c r="E13" s="64" t="s">
        <v>32</v>
      </c>
      <c r="F13" s="65" t="s">
        <v>33</v>
      </c>
      <c r="G13" s="66" t="s">
        <v>34</v>
      </c>
      <c r="H13" s="67" t="s">
        <v>34</v>
      </c>
      <c r="I13" s="68"/>
      <c r="J13" s="69"/>
      <c r="K13" s="70"/>
      <c r="L13" s="71"/>
      <c r="M13" s="71"/>
      <c r="N13" s="72"/>
      <c r="O13" s="73">
        <v>1</v>
      </c>
      <c r="P13" s="74" t="s">
        <v>35</v>
      </c>
      <c r="Q13" s="75"/>
      <c r="R13" s="76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8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79"/>
      <c r="BQ13" s="79"/>
      <c r="BR13" s="79"/>
      <c r="BS13" s="79"/>
      <c r="BT13" s="79"/>
      <c r="BU13" s="79"/>
      <c r="BV13" s="79"/>
      <c r="BW13" s="79"/>
      <c r="BX13" s="79"/>
      <c r="BY13" s="79"/>
      <c r="BZ13" s="79"/>
      <c r="CA13" s="79"/>
      <c r="CB13" s="79"/>
      <c r="CC13" s="79"/>
      <c r="CD13" s="79"/>
      <c r="CE13" s="79"/>
      <c r="CF13" s="79"/>
      <c r="CG13" s="79"/>
      <c r="CH13" s="79"/>
      <c r="CI13" s="79"/>
      <c r="CJ13" s="79"/>
      <c r="CK13" s="79"/>
      <c r="CL13" s="79"/>
      <c r="CM13" s="79"/>
      <c r="CN13" s="79"/>
      <c r="CO13" s="79"/>
      <c r="CP13" s="79"/>
      <c r="CQ13" s="79"/>
      <c r="CR13" s="79"/>
      <c r="CS13" s="79"/>
      <c r="CT13" s="79"/>
      <c r="CU13" s="79"/>
      <c r="CV13" s="79"/>
      <c r="CW13" s="79"/>
      <c r="CX13" s="79"/>
      <c r="CY13" s="79"/>
    </row>
    <row r="14" spans="1:103" ht="17.25" customHeight="1" outlineLevel="1" x14ac:dyDescent="0.2">
      <c r="A14" s="62" t="s">
        <v>29</v>
      </c>
      <c r="B14" s="63" t="s">
        <v>36</v>
      </c>
      <c r="C14" s="100" t="s">
        <v>37</v>
      </c>
      <c r="D14" s="100"/>
      <c r="E14" s="64" t="s">
        <v>32</v>
      </c>
      <c r="F14" s="65" t="s">
        <v>38</v>
      </c>
      <c r="G14" s="66" t="s">
        <v>34</v>
      </c>
      <c r="H14" s="67" t="s">
        <v>34</v>
      </c>
      <c r="I14" s="68"/>
      <c r="J14" s="69"/>
      <c r="K14" s="70"/>
      <c r="L14" s="71"/>
      <c r="M14" s="71"/>
      <c r="N14" s="72"/>
      <c r="O14" s="73">
        <v>1</v>
      </c>
      <c r="P14" s="74" t="s">
        <v>35</v>
      </c>
      <c r="Q14" s="75"/>
      <c r="R14" s="76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8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</row>
    <row r="15" spans="1:103" ht="17.25" customHeight="1" outlineLevel="1" x14ac:dyDescent="0.2">
      <c r="A15" s="62" t="s">
        <v>29</v>
      </c>
      <c r="B15" s="63" t="s">
        <v>39</v>
      </c>
      <c r="C15" s="100" t="s">
        <v>40</v>
      </c>
      <c r="D15" s="100"/>
      <c r="E15" s="64" t="s">
        <v>32</v>
      </c>
      <c r="F15" s="65" t="s">
        <v>41</v>
      </c>
      <c r="G15" s="66" t="s">
        <v>34</v>
      </c>
      <c r="H15" s="67" t="s">
        <v>34</v>
      </c>
      <c r="I15" s="68" t="s">
        <v>42</v>
      </c>
      <c r="J15" s="69"/>
      <c r="K15" s="70"/>
      <c r="L15" s="71"/>
      <c r="M15" s="71"/>
      <c r="N15" s="72"/>
      <c r="O15" s="73">
        <v>1</v>
      </c>
      <c r="P15" s="74" t="s">
        <v>35</v>
      </c>
      <c r="Q15" s="75"/>
      <c r="R15" s="76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8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</row>
    <row r="16" spans="1:103" ht="17.25" customHeight="1" outlineLevel="1" x14ac:dyDescent="0.2">
      <c r="A16" s="62" t="s">
        <v>29</v>
      </c>
      <c r="B16" s="63" t="s">
        <v>43</v>
      </c>
      <c r="C16" s="100" t="s">
        <v>44</v>
      </c>
      <c r="D16" s="100"/>
      <c r="E16" s="64" t="s">
        <v>32</v>
      </c>
      <c r="F16" s="65" t="s">
        <v>32</v>
      </c>
      <c r="G16" s="66" t="s">
        <v>34</v>
      </c>
      <c r="H16" s="67" t="s">
        <v>34</v>
      </c>
      <c r="I16" s="68"/>
      <c r="J16" s="69"/>
      <c r="K16" s="70"/>
      <c r="L16" s="71"/>
      <c r="M16" s="71"/>
      <c r="N16" s="72"/>
      <c r="O16" s="73">
        <v>1</v>
      </c>
      <c r="P16" s="74" t="s">
        <v>35</v>
      </c>
      <c r="Q16" s="75"/>
      <c r="R16" s="76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8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9"/>
    </row>
    <row r="17" spans="1:103" s="61" customFormat="1" ht="21" customHeight="1" x14ac:dyDescent="0.2">
      <c r="A17" s="80"/>
      <c r="B17" s="81">
        <v>2</v>
      </c>
      <c r="C17" s="101" t="s">
        <v>45</v>
      </c>
      <c r="D17" s="101"/>
      <c r="E17" s="82"/>
      <c r="F17" s="82"/>
      <c r="G17" s="82"/>
      <c r="H17" s="82"/>
      <c r="I17" s="83"/>
      <c r="J17" s="82"/>
      <c r="K17" s="83"/>
      <c r="L17" s="84" t="str">
        <f>IF(MIN(L18:L22)&gt;0,MIN(L18:L22),"")</f>
        <v/>
      </c>
      <c r="M17" s="84" t="str">
        <f>IF(MAX(M18:M22)&gt;0,MAX(M18:M22),"")</f>
        <v/>
      </c>
      <c r="N17" s="85" t="e">
        <f t="shared" ref="N17:N22" si="9">IF(OR(L17=0,M17=0),"",NETWORKDAYS(L17,M17))</f>
        <v>#VALUE!</v>
      </c>
      <c r="O17" s="86">
        <f>AVERAGE(O18:O22)</f>
        <v>1</v>
      </c>
      <c r="P17" s="55"/>
      <c r="Q17" s="56"/>
      <c r="R17" s="57"/>
      <c r="S17" s="58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9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BM17" s="60"/>
      <c r="BN17" s="60"/>
      <c r="BO17" s="60"/>
      <c r="BP17" s="60"/>
      <c r="BQ17" s="60"/>
      <c r="BR17" s="60"/>
      <c r="BS17" s="60"/>
      <c r="BT17" s="60"/>
      <c r="BU17" s="60"/>
      <c r="BV17" s="60"/>
      <c r="BW17" s="60"/>
      <c r="BX17" s="60"/>
      <c r="BY17" s="60"/>
      <c r="BZ17" s="60"/>
      <c r="CA17" s="60"/>
      <c r="CB17" s="60"/>
      <c r="CC17" s="60"/>
      <c r="CD17" s="60"/>
      <c r="CE17" s="60"/>
      <c r="CF17" s="60"/>
      <c r="CG17" s="60"/>
      <c r="CH17" s="60"/>
      <c r="CI17" s="60"/>
      <c r="CJ17" s="60"/>
      <c r="CK17" s="60"/>
      <c r="CL17" s="60"/>
      <c r="CM17" s="60"/>
      <c r="CN17" s="60"/>
      <c r="CO17" s="60"/>
      <c r="CP17" s="60"/>
      <c r="CQ17" s="60"/>
      <c r="CR17" s="60"/>
      <c r="CS17" s="60"/>
      <c r="CT17" s="60"/>
      <c r="CU17" s="60"/>
      <c r="CV17" s="60"/>
      <c r="CW17" s="60"/>
      <c r="CX17" s="60"/>
      <c r="CY17" s="60"/>
    </row>
    <row r="18" spans="1:103" ht="17.25" customHeight="1" outlineLevel="1" x14ac:dyDescent="0.2">
      <c r="A18" s="62" t="s">
        <v>29</v>
      </c>
      <c r="B18" s="63" t="s">
        <v>46</v>
      </c>
      <c r="C18" s="102" t="s">
        <v>47</v>
      </c>
      <c r="D18" s="102"/>
      <c r="E18" s="64" t="s">
        <v>41</v>
      </c>
      <c r="F18" s="65" t="s">
        <v>33</v>
      </c>
      <c r="G18" s="66" t="s">
        <v>34</v>
      </c>
      <c r="H18" s="67" t="s">
        <v>34</v>
      </c>
      <c r="I18" s="68"/>
      <c r="J18" s="69"/>
      <c r="K18" s="70"/>
      <c r="L18" s="71"/>
      <c r="M18" s="71"/>
      <c r="N18" s="72" t="str">
        <f t="shared" si="9"/>
        <v/>
      </c>
      <c r="O18" s="73">
        <v>1</v>
      </c>
      <c r="P18" s="74" t="s">
        <v>35</v>
      </c>
      <c r="Q18" s="88"/>
      <c r="R18" s="76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8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  <c r="BX18" s="79"/>
      <c r="BY18" s="79"/>
      <c r="BZ18" s="79"/>
      <c r="CA18" s="79"/>
      <c r="CB18" s="79"/>
      <c r="CC18" s="79"/>
      <c r="CD18" s="79"/>
      <c r="CE18" s="79"/>
      <c r="CF18" s="79"/>
      <c r="CG18" s="79"/>
      <c r="CH18" s="79"/>
      <c r="CI18" s="79"/>
      <c r="CJ18" s="79"/>
      <c r="CK18" s="79"/>
      <c r="CL18" s="79"/>
      <c r="CM18" s="79"/>
      <c r="CN18" s="79"/>
      <c r="CO18" s="79"/>
      <c r="CP18" s="79"/>
      <c r="CQ18" s="79"/>
      <c r="CR18" s="79"/>
      <c r="CS18" s="79"/>
      <c r="CT18" s="79"/>
      <c r="CU18" s="79"/>
      <c r="CV18" s="79"/>
      <c r="CW18" s="79"/>
      <c r="CX18" s="79"/>
      <c r="CY18" s="79"/>
    </row>
    <row r="19" spans="1:103" ht="17.25" customHeight="1" outlineLevel="1" x14ac:dyDescent="0.2">
      <c r="A19" s="32" t="s">
        <v>29</v>
      </c>
      <c r="B19" s="63" t="s">
        <v>49</v>
      </c>
      <c r="C19" s="102" t="s">
        <v>50</v>
      </c>
      <c r="D19" s="102"/>
      <c r="E19" s="64" t="s">
        <v>33</v>
      </c>
      <c r="F19" s="65" t="s">
        <v>41</v>
      </c>
      <c r="G19" s="66" t="s">
        <v>34</v>
      </c>
      <c r="H19" s="67" t="s">
        <v>34</v>
      </c>
      <c r="I19" s="68"/>
      <c r="J19" s="89"/>
      <c r="K19" s="89"/>
      <c r="L19" s="71"/>
      <c r="M19" s="71"/>
      <c r="N19" s="72" t="str">
        <f t="shared" si="9"/>
        <v/>
      </c>
      <c r="O19" s="73">
        <v>1</v>
      </c>
      <c r="P19" s="74" t="s">
        <v>35</v>
      </c>
      <c r="Q19" s="88"/>
      <c r="R19" s="76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8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  <c r="BX19" s="79"/>
      <c r="BY19" s="79"/>
      <c r="BZ19" s="79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79"/>
      <c r="CL19" s="79"/>
      <c r="CM19" s="79"/>
      <c r="CN19" s="79"/>
      <c r="CO19" s="79"/>
      <c r="CP19" s="79"/>
      <c r="CQ19" s="79"/>
      <c r="CR19" s="79"/>
      <c r="CS19" s="79"/>
      <c r="CT19" s="79"/>
      <c r="CU19" s="79"/>
      <c r="CV19" s="79"/>
      <c r="CW19" s="79"/>
      <c r="CX19" s="79"/>
      <c r="CY19" s="79"/>
    </row>
    <row r="20" spans="1:103" ht="17.25" customHeight="1" outlineLevel="1" x14ac:dyDescent="0.2">
      <c r="A20" s="32" t="s">
        <v>29</v>
      </c>
      <c r="B20" s="63" t="s">
        <v>51</v>
      </c>
      <c r="C20" s="102" t="s">
        <v>52</v>
      </c>
      <c r="D20" s="102"/>
      <c r="E20" s="64" t="s">
        <v>41</v>
      </c>
      <c r="F20" s="65" t="s">
        <v>33</v>
      </c>
      <c r="G20" s="66" t="s">
        <v>34</v>
      </c>
      <c r="H20" s="67" t="s">
        <v>34</v>
      </c>
      <c r="I20" s="68"/>
      <c r="J20" s="69"/>
      <c r="K20" s="70"/>
      <c r="L20" s="71"/>
      <c r="M20" s="71"/>
      <c r="N20" s="72" t="str">
        <f t="shared" si="9"/>
        <v/>
      </c>
      <c r="O20" s="73">
        <v>1</v>
      </c>
      <c r="P20" s="74" t="s">
        <v>35</v>
      </c>
      <c r="Q20" s="88"/>
      <c r="R20" s="76"/>
      <c r="S20" s="77"/>
      <c r="T20" s="77"/>
      <c r="U20" s="77"/>
      <c r="V20" s="77"/>
      <c r="W20" s="77"/>
      <c r="X20" s="79"/>
      <c r="Y20" s="77"/>
      <c r="Z20" s="77"/>
      <c r="AA20" s="77"/>
      <c r="AB20" s="77"/>
      <c r="AC20" s="77"/>
      <c r="AD20" s="77"/>
      <c r="AE20" s="77"/>
      <c r="AF20" s="77"/>
      <c r="AG20" s="78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79"/>
      <c r="BW20" s="79"/>
      <c r="BX20" s="79"/>
      <c r="BY20" s="79"/>
      <c r="BZ20" s="79"/>
      <c r="CA20" s="79"/>
      <c r="CB20" s="79"/>
      <c r="CC20" s="79"/>
      <c r="CD20" s="79"/>
      <c r="CE20" s="79"/>
      <c r="CF20" s="79"/>
      <c r="CG20" s="79"/>
      <c r="CH20" s="79"/>
      <c r="CI20" s="79"/>
      <c r="CJ20" s="79"/>
      <c r="CK20" s="79"/>
      <c r="CL20" s="79"/>
      <c r="CM20" s="79"/>
      <c r="CN20" s="79"/>
      <c r="CO20" s="79"/>
      <c r="CP20" s="79"/>
      <c r="CQ20" s="79"/>
      <c r="CR20" s="79"/>
      <c r="CS20" s="79"/>
      <c r="CT20" s="79"/>
      <c r="CU20" s="79"/>
      <c r="CV20" s="79"/>
      <c r="CW20" s="79"/>
      <c r="CX20" s="79"/>
      <c r="CY20" s="79"/>
    </row>
    <row r="21" spans="1:103" ht="17.25" customHeight="1" outlineLevel="1" x14ac:dyDescent="0.2">
      <c r="A21" s="32" t="s">
        <v>29</v>
      </c>
      <c r="B21" s="63" t="s">
        <v>53</v>
      </c>
      <c r="C21" s="102" t="s">
        <v>54</v>
      </c>
      <c r="D21" s="102"/>
      <c r="E21" s="64" t="s">
        <v>33</v>
      </c>
      <c r="F21" s="65" t="s">
        <v>41</v>
      </c>
      <c r="G21" s="66" t="s">
        <v>34</v>
      </c>
      <c r="H21" s="67" t="s">
        <v>34</v>
      </c>
      <c r="I21" s="68"/>
      <c r="J21" s="69"/>
      <c r="K21" s="16"/>
      <c r="L21" s="71"/>
      <c r="M21" s="71"/>
      <c r="N21" s="72" t="str">
        <f t="shared" si="9"/>
        <v/>
      </c>
      <c r="O21" s="73">
        <v>1</v>
      </c>
      <c r="P21" s="74" t="s">
        <v>35</v>
      </c>
      <c r="Q21" s="88"/>
      <c r="R21" s="76"/>
      <c r="S21" s="77"/>
      <c r="T21" s="77"/>
      <c r="U21" s="77"/>
      <c r="V21" s="77"/>
      <c r="W21" s="77"/>
      <c r="X21" s="79"/>
      <c r="Y21" s="77"/>
      <c r="Z21" s="77"/>
      <c r="AA21" s="77"/>
      <c r="AB21" s="77"/>
      <c r="AC21" s="77"/>
      <c r="AD21" s="77"/>
      <c r="AE21" s="77"/>
      <c r="AF21" s="77"/>
      <c r="AG21" s="78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79"/>
      <c r="BW21" s="79"/>
      <c r="BX21" s="79"/>
      <c r="BY21" s="79"/>
      <c r="BZ21" s="79"/>
      <c r="CA21" s="79"/>
      <c r="CB21" s="79"/>
      <c r="CC21" s="79"/>
      <c r="CD21" s="79"/>
      <c r="CE21" s="79"/>
      <c r="CF21" s="79"/>
      <c r="CG21" s="79"/>
      <c r="CH21" s="79"/>
      <c r="CI21" s="79"/>
      <c r="CJ21" s="79"/>
      <c r="CK21" s="79"/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/>
      <c r="CW21" s="79"/>
      <c r="CX21" s="79"/>
      <c r="CY21" s="79"/>
    </row>
    <row r="22" spans="1:103" ht="17.25" customHeight="1" outlineLevel="1" x14ac:dyDescent="0.2">
      <c r="A22" s="32" t="s">
        <v>29</v>
      </c>
      <c r="B22" s="63" t="s">
        <v>55</v>
      </c>
      <c r="C22" s="102" t="s">
        <v>56</v>
      </c>
      <c r="D22" s="102"/>
      <c r="E22" s="64" t="s">
        <v>33</v>
      </c>
      <c r="F22" s="65" t="s">
        <v>38</v>
      </c>
      <c r="G22" s="66" t="s">
        <v>34</v>
      </c>
      <c r="H22" s="67" t="s">
        <v>34</v>
      </c>
      <c r="I22" s="68"/>
      <c r="J22" s="69"/>
      <c r="K22" s="70"/>
      <c r="L22" s="71"/>
      <c r="M22" s="71"/>
      <c r="N22" s="72" t="str">
        <f t="shared" si="9"/>
        <v/>
      </c>
      <c r="O22" s="73">
        <v>1</v>
      </c>
      <c r="P22" s="74" t="s">
        <v>35</v>
      </c>
      <c r="Q22" s="88"/>
      <c r="R22" s="76"/>
      <c r="S22" s="77"/>
      <c r="T22" s="77"/>
      <c r="U22" s="77"/>
      <c r="V22" s="77"/>
      <c r="W22" s="77"/>
      <c r="X22" s="79"/>
      <c r="Y22" s="77"/>
      <c r="Z22" s="77"/>
      <c r="AA22" s="77"/>
      <c r="AB22" s="77"/>
      <c r="AC22" s="77"/>
      <c r="AD22" s="77"/>
      <c r="AE22" s="77"/>
      <c r="AF22" s="77"/>
      <c r="AG22" s="78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</row>
    <row r="23" spans="1:103" ht="17.25" customHeight="1" outlineLevel="1" x14ac:dyDescent="0.2">
      <c r="A23" s="62" t="s">
        <v>29</v>
      </c>
      <c r="B23" s="63" t="s">
        <v>43</v>
      </c>
      <c r="C23" s="100" t="s">
        <v>44</v>
      </c>
      <c r="D23" s="100"/>
      <c r="E23" s="64" t="s">
        <v>57</v>
      </c>
      <c r="F23" s="65" t="s">
        <v>32</v>
      </c>
      <c r="G23" s="66" t="s">
        <v>34</v>
      </c>
      <c r="H23" s="67" t="s">
        <v>34</v>
      </c>
      <c r="I23" s="68"/>
      <c r="J23" s="69"/>
      <c r="K23" s="70"/>
      <c r="L23" s="71"/>
      <c r="M23" s="71"/>
      <c r="N23" s="72"/>
      <c r="O23" s="73"/>
      <c r="P23" s="74" t="s">
        <v>35</v>
      </c>
      <c r="Q23" s="75"/>
      <c r="R23" s="76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8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79"/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79"/>
      <c r="BQ23" s="79"/>
      <c r="BR23" s="79"/>
      <c r="BS23" s="79"/>
      <c r="BT23" s="79"/>
      <c r="BU23" s="79"/>
      <c r="BV23" s="79"/>
      <c r="BW23" s="79"/>
      <c r="BX23" s="79"/>
      <c r="BY23" s="79"/>
      <c r="BZ23" s="79"/>
      <c r="CA23" s="79"/>
      <c r="CB23" s="79"/>
      <c r="CC23" s="79"/>
      <c r="CD23" s="79"/>
      <c r="CE23" s="79"/>
      <c r="CF23" s="79"/>
      <c r="CG23" s="79"/>
      <c r="CH23" s="79"/>
      <c r="CI23" s="79"/>
      <c r="CJ23" s="79"/>
      <c r="CK23" s="79"/>
      <c r="CL23" s="79"/>
      <c r="CM23" s="79"/>
      <c r="CN23" s="79"/>
      <c r="CO23" s="79"/>
      <c r="CP23" s="79"/>
      <c r="CQ23" s="79"/>
      <c r="CR23" s="79"/>
      <c r="CS23" s="79"/>
      <c r="CT23" s="79"/>
      <c r="CU23" s="79"/>
      <c r="CV23" s="79"/>
      <c r="CW23" s="79"/>
      <c r="CX23" s="79"/>
      <c r="CY23" s="79"/>
    </row>
    <row r="24" spans="1:103" ht="17.25" customHeight="1" outlineLevel="1" x14ac:dyDescent="0.2">
      <c r="A24" s="80"/>
      <c r="B24" s="90">
        <v>3</v>
      </c>
      <c r="C24" s="103" t="s">
        <v>59</v>
      </c>
      <c r="D24" s="103"/>
      <c r="E24" s="91"/>
      <c r="F24" s="91"/>
      <c r="G24" s="91"/>
      <c r="H24" s="91"/>
      <c r="I24" s="92"/>
      <c r="J24" s="91"/>
      <c r="K24" s="92"/>
      <c r="L24" s="84" t="str">
        <f>IF(MIN(L25:L27)&gt;0,MIN(L25:L27),"")</f>
        <v/>
      </c>
      <c r="M24" s="84" t="str">
        <f>IF(MAX(M25:M27)&gt;0,MAX(M25:M27),"")</f>
        <v/>
      </c>
      <c r="N24" s="85" t="e">
        <f>IF(OR(L24=0,M24=0),"",NETWORKDAYS(L24,M24))</f>
        <v>#VALUE!</v>
      </c>
      <c r="O24" s="93">
        <f>AVERAGE(O25)</f>
        <v>1</v>
      </c>
      <c r="P24" s="94"/>
      <c r="Q24" s="75"/>
      <c r="R24" s="76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8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79"/>
      <c r="BF24" s="79"/>
      <c r="BG24" s="79"/>
      <c r="BH24" s="79"/>
      <c r="BI24" s="79"/>
      <c r="BJ24" s="79"/>
      <c r="BK24" s="79"/>
      <c r="BL24" s="79"/>
      <c r="BM24" s="79"/>
      <c r="BN24" s="79"/>
      <c r="BO24" s="79"/>
      <c r="BP24" s="79"/>
      <c r="BQ24" s="79"/>
      <c r="BR24" s="79"/>
      <c r="BS24" s="79"/>
      <c r="BT24" s="79"/>
      <c r="BU24" s="79"/>
      <c r="BV24" s="79"/>
      <c r="BW24" s="79"/>
      <c r="BX24" s="79"/>
      <c r="BY24" s="79"/>
      <c r="BZ24" s="79"/>
      <c r="CA24" s="79"/>
      <c r="CB24" s="79"/>
      <c r="CC24" s="79"/>
      <c r="CD24" s="79"/>
      <c r="CE24" s="79"/>
      <c r="CF24" s="79"/>
      <c r="CG24" s="79"/>
      <c r="CH24" s="79"/>
      <c r="CI24" s="79"/>
      <c r="CJ24" s="79"/>
      <c r="CK24" s="79"/>
      <c r="CL24" s="79"/>
      <c r="CM24" s="79"/>
      <c r="CN24" s="79"/>
      <c r="CO24" s="79"/>
      <c r="CP24" s="79"/>
      <c r="CQ24" s="79"/>
      <c r="CR24" s="79"/>
      <c r="CS24" s="79"/>
      <c r="CT24" s="79"/>
      <c r="CU24" s="79"/>
      <c r="CV24" s="79"/>
      <c r="CW24" s="79"/>
      <c r="CX24" s="79"/>
      <c r="CY24" s="79"/>
    </row>
    <row r="25" spans="1:103" ht="17.25" customHeight="1" outlineLevel="1" x14ac:dyDescent="0.2">
      <c r="A25" s="32"/>
      <c r="B25" s="63" t="s">
        <v>60</v>
      </c>
      <c r="C25" s="100" t="s">
        <v>61</v>
      </c>
      <c r="D25" s="100"/>
      <c r="E25" s="64" t="s">
        <v>38</v>
      </c>
      <c r="F25" s="65" t="s">
        <v>33</v>
      </c>
      <c r="G25" s="66" t="s">
        <v>34</v>
      </c>
      <c r="H25" s="67" t="s">
        <v>34</v>
      </c>
      <c r="I25" s="68"/>
      <c r="J25" s="89"/>
      <c r="K25" s="89"/>
      <c r="L25" s="71"/>
      <c r="M25" s="71"/>
      <c r="N25" s="72" t="str">
        <f>IF(OR(L25=0,M25=0),"",NETWORKDAYS(L25,M25))</f>
        <v/>
      </c>
      <c r="O25" s="73">
        <v>1</v>
      </c>
      <c r="P25" s="74" t="s">
        <v>35</v>
      </c>
      <c r="Q25" s="88"/>
      <c r="R25" s="76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8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79"/>
      <c r="BW25" s="79"/>
      <c r="BX25" s="79"/>
      <c r="BY25" s="79"/>
      <c r="BZ25" s="79"/>
      <c r="CA25" s="79"/>
      <c r="CB25" s="79"/>
      <c r="CC25" s="79"/>
      <c r="CD25" s="79"/>
      <c r="CE25" s="79"/>
      <c r="CF25" s="79"/>
      <c r="CG25" s="79"/>
      <c r="CH25" s="79"/>
      <c r="CI25" s="79"/>
      <c r="CJ25" s="79"/>
      <c r="CK25" s="79"/>
      <c r="CL25" s="79"/>
      <c r="CM25" s="79"/>
      <c r="CN25" s="79"/>
      <c r="CO25" s="79"/>
      <c r="CP25" s="79"/>
      <c r="CQ25" s="79"/>
      <c r="CR25" s="79"/>
      <c r="CS25" s="79"/>
      <c r="CT25" s="79"/>
      <c r="CU25" s="79"/>
      <c r="CV25" s="79"/>
      <c r="CW25" s="79"/>
      <c r="CX25" s="79"/>
      <c r="CY25" s="79"/>
    </row>
    <row r="26" spans="1:103" ht="17.25" customHeight="1" outlineLevel="1" x14ac:dyDescent="0.2">
      <c r="A26" s="32" t="s">
        <v>29</v>
      </c>
      <c r="B26" s="63" t="s">
        <v>62</v>
      </c>
      <c r="C26" s="100" t="s">
        <v>37</v>
      </c>
      <c r="D26" s="100"/>
      <c r="E26" s="64" t="s">
        <v>38</v>
      </c>
      <c r="F26" s="65" t="s">
        <v>32</v>
      </c>
      <c r="G26" s="66" t="s">
        <v>34</v>
      </c>
      <c r="H26" s="67" t="s">
        <v>34</v>
      </c>
      <c r="I26" s="68"/>
      <c r="J26" s="89"/>
      <c r="K26" s="89"/>
      <c r="L26" s="71"/>
      <c r="M26" s="71"/>
      <c r="N26" s="72" t="str">
        <f>IF(OR(L26=0,M26=0),"",NETWORKDAYS(L26,M26))</f>
        <v/>
      </c>
      <c r="O26" s="73">
        <v>1</v>
      </c>
      <c r="P26" s="74" t="s">
        <v>35</v>
      </c>
      <c r="Q26" s="88"/>
      <c r="R26" s="76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8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79"/>
      <c r="BW26" s="79"/>
      <c r="BX26" s="79"/>
      <c r="BY26" s="79"/>
      <c r="BZ26" s="79"/>
      <c r="CA26" s="79"/>
      <c r="CB26" s="79"/>
      <c r="CC26" s="79"/>
      <c r="CD26" s="79"/>
      <c r="CE26" s="79"/>
      <c r="CF26" s="79"/>
      <c r="CG26" s="79"/>
      <c r="CH26" s="79"/>
      <c r="CI26" s="79"/>
      <c r="CJ26" s="79"/>
      <c r="CK26" s="79"/>
      <c r="CL26" s="79"/>
      <c r="CM26" s="79"/>
      <c r="CN26" s="79"/>
      <c r="CO26" s="79"/>
      <c r="CP26" s="79"/>
      <c r="CQ26" s="79"/>
      <c r="CR26" s="79"/>
      <c r="CS26" s="79"/>
      <c r="CT26" s="79"/>
      <c r="CU26" s="79"/>
      <c r="CV26" s="79"/>
      <c r="CW26" s="79"/>
      <c r="CX26" s="79"/>
      <c r="CY26" s="79"/>
    </row>
    <row r="27" spans="1:103" ht="17.25" customHeight="1" outlineLevel="1" x14ac:dyDescent="0.2">
      <c r="A27" s="32" t="s">
        <v>29</v>
      </c>
      <c r="B27" s="63" t="s">
        <v>63</v>
      </c>
      <c r="C27" s="100" t="s">
        <v>64</v>
      </c>
      <c r="D27" s="100"/>
      <c r="E27" s="64" t="s">
        <v>38</v>
      </c>
      <c r="F27" s="65" t="s">
        <v>38</v>
      </c>
      <c r="G27" s="66" t="s">
        <v>34</v>
      </c>
      <c r="H27" s="67" t="s">
        <v>34</v>
      </c>
      <c r="I27" s="68"/>
      <c r="J27" s="89"/>
      <c r="K27" s="89"/>
      <c r="L27" s="71"/>
      <c r="M27" s="71"/>
      <c r="N27" s="72" t="str">
        <f>IF(OR(L27=0,M27=0),"",NETWORKDAYS(L27,M27))</f>
        <v/>
      </c>
      <c r="O27" s="73">
        <v>1</v>
      </c>
      <c r="P27" s="74" t="s">
        <v>35</v>
      </c>
      <c r="Q27" s="88"/>
      <c r="R27" s="76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8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79"/>
      <c r="BQ27" s="79"/>
      <c r="BR27" s="79"/>
      <c r="BS27" s="79"/>
      <c r="BT27" s="79"/>
      <c r="BU27" s="79"/>
      <c r="BV27" s="79"/>
      <c r="BW27" s="79"/>
      <c r="BX27" s="79"/>
      <c r="BY27" s="79"/>
      <c r="BZ27" s="79"/>
      <c r="CA27" s="79"/>
      <c r="CB27" s="79"/>
      <c r="CC27" s="79"/>
      <c r="CD27" s="79"/>
      <c r="CE27" s="79"/>
      <c r="CF27" s="79"/>
      <c r="CG27" s="79"/>
      <c r="CH27" s="79"/>
      <c r="CI27" s="79"/>
      <c r="CJ27" s="79"/>
      <c r="CK27" s="79"/>
      <c r="CL27" s="79"/>
      <c r="CM27" s="79"/>
      <c r="CN27" s="79"/>
      <c r="CO27" s="79"/>
      <c r="CP27" s="79"/>
      <c r="CQ27" s="79"/>
      <c r="CR27" s="79"/>
      <c r="CS27" s="79"/>
      <c r="CT27" s="79"/>
      <c r="CU27" s="79"/>
      <c r="CV27" s="79"/>
      <c r="CW27" s="79"/>
      <c r="CX27" s="79"/>
      <c r="CY27" s="79"/>
    </row>
    <row r="28" spans="1:103" ht="17.25" customHeight="1" outlineLevel="1" x14ac:dyDescent="0.2">
      <c r="A28" s="62" t="s">
        <v>29</v>
      </c>
      <c r="B28" s="63" t="s">
        <v>43</v>
      </c>
      <c r="C28" s="100" t="s">
        <v>44</v>
      </c>
      <c r="D28" s="100"/>
      <c r="E28" s="64" t="s">
        <v>38</v>
      </c>
      <c r="F28" s="65" t="s">
        <v>32</v>
      </c>
      <c r="G28" s="66" t="s">
        <v>34</v>
      </c>
      <c r="H28" s="67" t="s">
        <v>34</v>
      </c>
      <c r="I28" s="68"/>
      <c r="J28" s="69"/>
      <c r="K28" s="70"/>
      <c r="L28" s="71"/>
      <c r="M28" s="71"/>
      <c r="N28" s="72"/>
      <c r="O28" s="73">
        <v>1</v>
      </c>
      <c r="P28" s="74" t="s">
        <v>35</v>
      </c>
      <c r="Q28" s="75"/>
      <c r="R28" s="76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8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79"/>
      <c r="BW28" s="79"/>
      <c r="BX28" s="79"/>
      <c r="BY28" s="79"/>
      <c r="BZ28" s="79"/>
      <c r="CA28" s="79"/>
      <c r="CB28" s="79"/>
      <c r="CC28" s="79"/>
      <c r="CD28" s="79"/>
      <c r="CE28" s="79"/>
      <c r="CF28" s="79"/>
      <c r="CG28" s="79"/>
      <c r="CH28" s="79"/>
      <c r="CI28" s="79"/>
      <c r="CJ28" s="79"/>
      <c r="CK28" s="79"/>
      <c r="CL28" s="79"/>
      <c r="CM28" s="79"/>
      <c r="CN28" s="79"/>
      <c r="CO28" s="79"/>
      <c r="CP28" s="79"/>
      <c r="CQ28" s="79"/>
      <c r="CR28" s="79"/>
      <c r="CS28" s="79"/>
      <c r="CT28" s="79"/>
      <c r="CU28" s="79"/>
      <c r="CV28" s="79"/>
      <c r="CW28" s="79"/>
      <c r="CX28" s="79"/>
      <c r="CY28" s="79"/>
    </row>
    <row r="29" spans="1:103" ht="17.25" customHeight="1" outlineLevel="1" x14ac:dyDescent="0.2">
      <c r="A29" s="80"/>
      <c r="B29" s="90" t="s">
        <v>65</v>
      </c>
      <c r="C29" s="103" t="s">
        <v>66</v>
      </c>
      <c r="D29" s="103"/>
      <c r="E29" s="91"/>
      <c r="F29" s="91"/>
      <c r="G29" s="91"/>
      <c r="H29" s="91"/>
      <c r="I29" s="92"/>
      <c r="J29" s="92"/>
      <c r="K29" s="83"/>
      <c r="L29" s="84"/>
      <c r="M29" s="84"/>
      <c r="N29" s="85" t="e">
        <f>#VALUE!</f>
        <v>#VALUE!</v>
      </c>
      <c r="O29" s="94">
        <f>AVERAGE(O30:O31)</f>
        <v>1</v>
      </c>
      <c r="P29" s="94"/>
      <c r="Q29" s="75"/>
      <c r="R29" s="76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79"/>
      <c r="BW29" s="79"/>
      <c r="BX29" s="79"/>
      <c r="BY29" s="79"/>
      <c r="BZ29" s="79"/>
      <c r="CA29" s="79"/>
      <c r="CB29" s="79"/>
      <c r="CC29" s="79"/>
      <c r="CD29" s="79"/>
      <c r="CE29" s="79"/>
      <c r="CF29" s="79"/>
      <c r="CG29" s="79"/>
      <c r="CH29" s="79"/>
      <c r="CI29" s="79"/>
      <c r="CJ29" s="79"/>
      <c r="CK29" s="79"/>
      <c r="CL29" s="79"/>
      <c r="CM29" s="79"/>
      <c r="CN29" s="79"/>
      <c r="CO29" s="79"/>
      <c r="CP29" s="79"/>
      <c r="CQ29" s="79"/>
      <c r="CR29" s="79"/>
      <c r="CS29" s="79"/>
      <c r="CT29" s="79"/>
      <c r="CU29" s="79"/>
      <c r="CV29" s="79"/>
      <c r="CW29" s="79"/>
      <c r="CX29" s="79"/>
      <c r="CY29" s="79"/>
    </row>
    <row r="30" spans="1:103" ht="17.25" customHeight="1" outlineLevel="1" x14ac:dyDescent="0.2">
      <c r="A30" s="32" t="s">
        <v>29</v>
      </c>
      <c r="B30" s="63" t="s">
        <v>67</v>
      </c>
      <c r="C30" s="104" t="s">
        <v>68</v>
      </c>
      <c r="D30" s="104"/>
      <c r="E30" s="64" t="s">
        <v>32</v>
      </c>
      <c r="F30" s="65" t="s">
        <v>38</v>
      </c>
      <c r="G30" s="66" t="s">
        <v>34</v>
      </c>
      <c r="H30" s="67" t="s">
        <v>34</v>
      </c>
      <c r="I30" s="68"/>
      <c r="J30" s="69"/>
      <c r="K30" s="95"/>
      <c r="L30" s="71"/>
      <c r="M30" s="71"/>
      <c r="N30" s="72" t="str">
        <f>IF(OR(L30=0,M30=0),"",NETWORKDAYS(L30,M30))</f>
        <v/>
      </c>
      <c r="O30" s="73">
        <v>1</v>
      </c>
      <c r="P30" s="74" t="s">
        <v>35</v>
      </c>
      <c r="Q30" s="88"/>
      <c r="R30" s="76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8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</row>
    <row r="31" spans="1:103" ht="17.25" customHeight="1" outlineLevel="1" x14ac:dyDescent="0.2">
      <c r="A31" s="32" t="s">
        <v>29</v>
      </c>
      <c r="B31" s="63" t="s">
        <v>70</v>
      </c>
      <c r="C31" s="104" t="s">
        <v>71</v>
      </c>
      <c r="D31" s="104"/>
      <c r="E31" s="64" t="s">
        <v>74</v>
      </c>
      <c r="F31" s="65" t="s">
        <v>32</v>
      </c>
      <c r="G31" s="66" t="s">
        <v>34</v>
      </c>
      <c r="H31" s="67" t="s">
        <v>34</v>
      </c>
      <c r="I31" s="68"/>
      <c r="J31" s="69"/>
      <c r="K31" s="95"/>
      <c r="L31" s="71"/>
      <c r="M31" s="71"/>
      <c r="N31" s="72" t="str">
        <f>IF(OR(L31=0,M31=0),"",NETWORKDAYS(L31,M31))</f>
        <v/>
      </c>
      <c r="O31" s="73">
        <v>1</v>
      </c>
      <c r="P31" s="74" t="s">
        <v>35</v>
      </c>
      <c r="Q31" s="88"/>
      <c r="R31" s="76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8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79"/>
      <c r="BQ31" s="79"/>
      <c r="BR31" s="79"/>
      <c r="BS31" s="79"/>
      <c r="BT31" s="79"/>
      <c r="BU31" s="79"/>
      <c r="BV31" s="79"/>
      <c r="BW31" s="79"/>
      <c r="BX31" s="79"/>
      <c r="BY31" s="79"/>
      <c r="BZ31" s="79"/>
      <c r="CA31" s="79"/>
      <c r="CB31" s="79"/>
      <c r="CC31" s="79"/>
      <c r="CD31" s="79"/>
      <c r="CE31" s="79"/>
      <c r="CF31" s="79"/>
      <c r="CG31" s="79"/>
      <c r="CH31" s="79"/>
      <c r="CI31" s="79"/>
      <c r="CJ31" s="79"/>
      <c r="CK31" s="79"/>
      <c r="CL31" s="79"/>
      <c r="CM31" s="79"/>
      <c r="CN31" s="79"/>
      <c r="CO31" s="79"/>
      <c r="CP31" s="79"/>
      <c r="CQ31" s="79"/>
      <c r="CR31" s="79"/>
      <c r="CS31" s="79"/>
      <c r="CT31" s="79"/>
      <c r="CU31" s="79"/>
      <c r="CV31" s="79"/>
      <c r="CW31" s="79"/>
      <c r="CX31" s="79"/>
      <c r="CY31" s="79"/>
    </row>
    <row r="32" spans="1:103" ht="17.25" customHeight="1" outlineLevel="1" x14ac:dyDescent="0.2">
      <c r="A32" s="80"/>
      <c r="B32" s="90" t="s">
        <v>72</v>
      </c>
      <c r="C32" s="103" t="s">
        <v>73</v>
      </c>
      <c r="D32" s="103"/>
      <c r="E32" s="91"/>
      <c r="F32" s="91"/>
      <c r="G32" s="91"/>
      <c r="H32" s="91"/>
      <c r="I32" s="92"/>
      <c r="J32" s="92"/>
      <c r="K32" s="83"/>
      <c r="L32" s="84"/>
      <c r="M32" s="84"/>
      <c r="N32" s="85" t="e">
        <f>#VALUE!</f>
        <v>#VALUE!</v>
      </c>
      <c r="O32" s="94">
        <f>AVERAGE(O33:O35)</f>
        <v>1</v>
      </c>
      <c r="P32" s="94"/>
      <c r="Q32" s="96"/>
      <c r="R32" s="97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32"/>
    </row>
    <row r="33" spans="1:16" ht="15.75" customHeight="1" x14ac:dyDescent="0.2">
      <c r="A33" s="32" t="s">
        <v>29</v>
      </c>
      <c r="B33" s="63" t="s">
        <v>67</v>
      </c>
      <c r="C33" s="104" t="s">
        <v>32</v>
      </c>
      <c r="D33" s="104"/>
      <c r="E33" s="64" t="s">
        <v>32</v>
      </c>
      <c r="F33" s="65" t="s">
        <v>32</v>
      </c>
      <c r="G33" s="66" t="s">
        <v>34</v>
      </c>
      <c r="H33" s="67" t="s">
        <v>34</v>
      </c>
      <c r="I33" s="68"/>
      <c r="J33" s="69"/>
      <c r="K33" s="95"/>
      <c r="L33" s="71"/>
      <c r="M33" s="71"/>
      <c r="N33" s="72" t="str">
        <f>IF(OR(L33=0,M33=0),"",NETWORKDAYS(L33,M33))</f>
        <v/>
      </c>
      <c r="O33" s="73">
        <v>1</v>
      </c>
      <c r="P33" s="74" t="s">
        <v>35</v>
      </c>
    </row>
    <row r="34" spans="1:16" ht="15.75" customHeight="1" x14ac:dyDescent="0.2">
      <c r="A34" s="32" t="s">
        <v>29</v>
      </c>
      <c r="B34" s="63" t="s">
        <v>69</v>
      </c>
      <c r="C34" s="104" t="s">
        <v>41</v>
      </c>
      <c r="D34" s="104"/>
      <c r="E34" s="64" t="s">
        <v>41</v>
      </c>
      <c r="F34" s="65" t="s">
        <v>32</v>
      </c>
      <c r="G34" s="66" t="s">
        <v>34</v>
      </c>
      <c r="H34" s="67" t="s">
        <v>34</v>
      </c>
      <c r="I34" s="68"/>
      <c r="J34" s="69"/>
      <c r="K34" s="95"/>
      <c r="L34" s="71"/>
      <c r="M34" s="71"/>
      <c r="N34" s="72" t="str">
        <f>IF(OR(L34=0,M34=0),"",NETWORKDAYS(L34,M34))</f>
        <v/>
      </c>
      <c r="O34" s="73">
        <v>1</v>
      </c>
      <c r="P34" s="74" t="s">
        <v>35</v>
      </c>
    </row>
    <row r="35" spans="1:16" ht="15.75" customHeight="1" x14ac:dyDescent="0.2">
      <c r="A35" s="32" t="s">
        <v>29</v>
      </c>
      <c r="B35" s="63" t="s">
        <v>70</v>
      </c>
      <c r="C35" s="104" t="s">
        <v>33</v>
      </c>
      <c r="D35" s="104"/>
      <c r="E35" s="64" t="s">
        <v>33</v>
      </c>
      <c r="F35" s="65" t="s">
        <v>32</v>
      </c>
      <c r="G35" s="66" t="s">
        <v>34</v>
      </c>
      <c r="H35" s="67" t="s">
        <v>34</v>
      </c>
      <c r="I35" s="68"/>
      <c r="J35" s="69"/>
      <c r="K35" s="95"/>
      <c r="L35" s="71"/>
      <c r="M35" s="71"/>
      <c r="N35" s="72" t="str">
        <f>IF(OR(L35=0,M35=0),"",NETWORKDAYS(L35,M35))</f>
        <v/>
      </c>
      <c r="O35" s="73">
        <v>1</v>
      </c>
      <c r="P35" s="74" t="s">
        <v>35</v>
      </c>
    </row>
    <row r="36" spans="1:16" ht="15.75" customHeight="1" x14ac:dyDescent="0.2">
      <c r="A36" s="32" t="s">
        <v>29</v>
      </c>
      <c r="B36" s="63" t="s">
        <v>70</v>
      </c>
      <c r="C36" s="104" t="s">
        <v>38</v>
      </c>
      <c r="D36" s="104"/>
      <c r="E36" s="64" t="s">
        <v>38</v>
      </c>
      <c r="F36" s="65" t="s">
        <v>32</v>
      </c>
      <c r="G36" s="66" t="s">
        <v>34</v>
      </c>
      <c r="H36" s="67" t="s">
        <v>34</v>
      </c>
      <c r="I36" s="68"/>
      <c r="J36" s="69"/>
      <c r="K36" s="95"/>
      <c r="L36" s="71"/>
      <c r="M36" s="71"/>
      <c r="N36" s="72" t="str">
        <f>IF(OR(L36=0,M36=0),"",NETWORKDAYS(L36,M36))</f>
        <v/>
      </c>
      <c r="O36" s="73">
        <v>1</v>
      </c>
      <c r="P36" s="74" t="s">
        <v>35</v>
      </c>
    </row>
    <row r="37" spans="1:16" x14ac:dyDescent="0.2">
      <c r="O37" s="99"/>
      <c r="P37"/>
    </row>
    <row r="38" spans="1:16" x14ac:dyDescent="0.2">
      <c r="P38"/>
    </row>
    <row r="39" spans="1:16" x14ac:dyDescent="0.2">
      <c r="P39"/>
    </row>
    <row r="40" spans="1:16" x14ac:dyDescent="0.2">
      <c r="P40" s="74" t="s">
        <v>35</v>
      </c>
    </row>
    <row r="41" spans="1:16" x14ac:dyDescent="0.2">
      <c r="P41" s="87" t="s">
        <v>48</v>
      </c>
    </row>
    <row r="42" spans="1:16" ht="25.5" x14ac:dyDescent="0.2">
      <c r="P42" s="87" t="s">
        <v>58</v>
      </c>
    </row>
  </sheetData>
  <autoFilter ref="B8:P31" xr:uid="{00000000-0009-0000-0000-000000000000}"/>
  <mergeCells count="57">
    <mergeCell ref="C33:D33"/>
    <mergeCell ref="C34:D34"/>
    <mergeCell ref="C35:D35"/>
    <mergeCell ref="C36:D36"/>
    <mergeCell ref="C29:D29"/>
    <mergeCell ref="C30:D30"/>
    <mergeCell ref="C31:D31"/>
    <mergeCell ref="C32:D32"/>
    <mergeCell ref="C24:D24"/>
    <mergeCell ref="C25:D25"/>
    <mergeCell ref="C26:D26"/>
    <mergeCell ref="C27:D27"/>
    <mergeCell ref="C28:D28"/>
    <mergeCell ref="C19:D19"/>
    <mergeCell ref="C20:D20"/>
    <mergeCell ref="C21:D21"/>
    <mergeCell ref="C22:D22"/>
    <mergeCell ref="C23:D23"/>
    <mergeCell ref="C14:D14"/>
    <mergeCell ref="C15:D15"/>
    <mergeCell ref="C16:D16"/>
    <mergeCell ref="C17:D17"/>
    <mergeCell ref="C18:D18"/>
    <mergeCell ref="N8:N10"/>
    <mergeCell ref="O8:O10"/>
    <mergeCell ref="P8:P10"/>
    <mergeCell ref="C12:D12"/>
    <mergeCell ref="C13:D13"/>
    <mergeCell ref="B6:D6"/>
    <mergeCell ref="E6:H6"/>
    <mergeCell ref="R6:U6"/>
    <mergeCell ref="V6:W6"/>
    <mergeCell ref="B8:B10"/>
    <mergeCell ref="C8:C10"/>
    <mergeCell ref="D8:D10"/>
    <mergeCell ref="E8:E10"/>
    <mergeCell ref="F8:F10"/>
    <mergeCell ref="G8:G10"/>
    <mergeCell ref="H8:H10"/>
    <mergeCell ref="I8:I10"/>
    <mergeCell ref="J8:J10"/>
    <mergeCell ref="K8:K10"/>
    <mergeCell ref="L8:L10"/>
    <mergeCell ref="M8:M10"/>
    <mergeCell ref="B4:D4"/>
    <mergeCell ref="E4:H4"/>
    <mergeCell ref="Q4:V4"/>
    <mergeCell ref="W4:AF4"/>
    <mergeCell ref="B5:D5"/>
    <mergeCell ref="Q5:W5"/>
    <mergeCell ref="B1:O1"/>
    <mergeCell ref="Q1:U1"/>
    <mergeCell ref="V1:AF1"/>
    <mergeCell ref="B3:D3"/>
    <mergeCell ref="E3:H3"/>
    <mergeCell ref="Q3:V3"/>
    <mergeCell ref="W3:AF3"/>
  </mergeCells>
  <conditionalFormatting sqref="O13">
    <cfRule type="dataBar" priority="7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{8B502DA1-6A24-489D-BFD1-62C09EC12D1D}</x14:id>
        </ext>
      </extLst>
    </cfRule>
  </conditionalFormatting>
  <conditionalFormatting sqref="O14">
    <cfRule type="dataBar" priority="7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{6DB6183B-332E-4EB9-A431-D783992EC700}</x14:id>
        </ext>
      </extLst>
    </cfRule>
  </conditionalFormatting>
  <conditionalFormatting sqref="O16">
    <cfRule type="dataBar" priority="7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{6D347038-11E9-4D1B-B42B-C83BC4A362C1}</x14:id>
        </ext>
      </extLst>
    </cfRule>
  </conditionalFormatting>
  <conditionalFormatting sqref="O23">
    <cfRule type="dataBar" priority="6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{EFD14456-3156-4AF5-AEE3-ED4CC0EA2163}</x14:id>
        </ext>
      </extLst>
    </cfRule>
  </conditionalFormatting>
  <conditionalFormatting sqref="O25">
    <cfRule type="dataBar" priority="7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{61FCF349-948E-44A9-BEF7-CBDE474160FE}</x14:id>
        </ext>
      </extLst>
    </cfRule>
  </conditionalFormatting>
  <conditionalFormatting sqref="O26">
    <cfRule type="dataBar" priority="7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{1092B59F-A680-459A-9A19-F05BD016F096}</x14:id>
        </ext>
      </extLst>
    </cfRule>
  </conditionalFormatting>
  <conditionalFormatting sqref="O27">
    <cfRule type="dataBar" priority="8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{3BE2C38D-D46C-416A-86A0-38C55485F4A4}</x14:id>
        </ext>
      </extLst>
    </cfRule>
  </conditionalFormatting>
  <conditionalFormatting sqref="O28">
    <cfRule type="dataBar" priority="8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{835D2B11-A034-41E8-AA55-BE84AE6FAE6C}</x14:id>
        </ext>
      </extLst>
    </cfRule>
  </conditionalFormatting>
  <conditionalFormatting sqref="O30">
    <cfRule type="dataBar" priority="8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{38A9F535-4F61-46A1-B82F-8B566EC0C79E}</x14:id>
        </ext>
      </extLst>
    </cfRule>
  </conditionalFormatting>
  <conditionalFormatting sqref="O31">
    <cfRule type="dataBar" priority="8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{8F9D8F14-A2ED-499C-AC7D-7DE013BDCCFA}</x14:id>
        </ext>
      </extLst>
    </cfRule>
  </conditionalFormatting>
  <conditionalFormatting sqref="O33">
    <cfRule type="dataBar" priority="9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{E5A5274D-6354-498B-A5E2-5DD14E45D7C6}</x14:id>
        </ext>
      </extLst>
    </cfRule>
  </conditionalFormatting>
  <conditionalFormatting sqref="O36">
    <cfRule type="dataBar" priority="9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{64FFC0D0-703D-4571-AB72-CE96D316FDDF}</x14:id>
        </ext>
      </extLst>
    </cfRule>
  </conditionalFormatting>
  <conditionalFormatting sqref="O38:O39">
    <cfRule type="dataBar" priority="5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{9AA5B26A-E057-46D1-B853-2346C0ED4B6F}</x14:id>
        </ext>
      </extLst>
    </cfRule>
  </conditionalFormatting>
  <conditionalFormatting sqref="O11:P12 O24:P24 O17:P17 O15">
    <cfRule type="dataBar" priority="3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{C7D9FF5F-8C11-4710-8524-30DE7A238580}</x14:id>
        </ext>
      </extLst>
    </cfRule>
  </conditionalFormatting>
  <conditionalFormatting sqref="P13">
    <cfRule type="dataBar" priority="7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{AB7756AB-6761-4CF0-A2F0-47FDC5AC2659}</x14:id>
        </ext>
      </extLst>
    </cfRule>
  </conditionalFormatting>
  <conditionalFormatting sqref="P13:P16 P25:P28 P40 P33:P36 P30:P31">
    <cfRule type="cellIs" dxfId="25" priority="42" operator="equal">
      <formula>"Terminée"</formula>
    </cfRule>
    <cfRule type="cellIs" dxfId="24" priority="43" operator="equal">
      <formula>"En cours"</formula>
    </cfRule>
    <cfRule type="cellIs" dxfId="23" priority="44" operator="equal">
      <formula>"Bloquée"</formula>
    </cfRule>
  </conditionalFormatting>
  <conditionalFormatting sqref="P14">
    <cfRule type="dataBar" priority="7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{624FAF50-40E0-4E99-951F-3D5A22B08661}</x14:id>
        </ext>
      </extLst>
    </cfRule>
  </conditionalFormatting>
  <conditionalFormatting sqref="P15">
    <cfRule type="dataBar" priority="5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{E2F9E156-C7B4-4FC5-9488-FE4F7E815383}</x14:id>
        </ext>
      </extLst>
    </cfRule>
  </conditionalFormatting>
  <conditionalFormatting sqref="P16">
    <cfRule type="dataBar" priority="8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{226BEB5D-BF9B-4DEC-ACD4-2A979FE0D58C}</x14:id>
        </ext>
      </extLst>
    </cfRule>
  </conditionalFormatting>
  <conditionalFormatting sqref="P25">
    <cfRule type="dataBar" priority="8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{A2788288-4981-4E8A-9557-8785FFA68060}</x14:id>
        </ext>
      </extLst>
    </cfRule>
  </conditionalFormatting>
  <conditionalFormatting sqref="P26">
    <cfRule type="dataBar" priority="8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{902C45A4-293E-4847-BB51-F181671CDBB1}</x14:id>
        </ext>
      </extLst>
    </cfRule>
  </conditionalFormatting>
  <conditionalFormatting sqref="P27">
    <cfRule type="dataBar" priority="8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{D6D09DED-E158-46C0-97D0-99952678AC15}</x14:id>
        </ext>
      </extLst>
    </cfRule>
  </conditionalFormatting>
  <conditionalFormatting sqref="P28">
    <cfRule type="dataBar" priority="8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{155B1027-6AEF-48C0-A17A-6BFE1F4D2266}</x14:id>
        </ext>
      </extLst>
    </cfRule>
  </conditionalFormatting>
  <conditionalFormatting sqref="P30">
    <cfRule type="dataBar" priority="9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{4A8C6D50-F8AB-47F5-B0D0-191017E5B013}</x14:id>
        </ext>
      </extLst>
    </cfRule>
  </conditionalFormatting>
  <conditionalFormatting sqref="P31">
    <cfRule type="dataBar" priority="9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{156F48F7-D0F0-4C70-8D26-D463DBBDDC58}</x14:id>
        </ext>
      </extLst>
    </cfRule>
  </conditionalFormatting>
  <conditionalFormatting sqref="P33:P35">
    <cfRule type="dataBar" priority="9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{66E0AF90-32AB-4A17-ABA8-BE49FE53E9CB}</x14:id>
        </ext>
      </extLst>
    </cfRule>
  </conditionalFormatting>
  <conditionalFormatting sqref="P34">
    <cfRule type="dataBar" priority="5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{F7963FB1-4223-4D90-8D3F-A3D0679D9F1E}</x14:id>
        </ext>
      </extLst>
    </cfRule>
  </conditionalFormatting>
  <conditionalFormatting sqref="P35">
    <cfRule type="dataBar" priority="5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{3CB17CF6-F53B-456E-8063-995D6244D89A}</x14:id>
        </ext>
      </extLst>
    </cfRule>
  </conditionalFormatting>
  <conditionalFormatting sqref="P36">
    <cfRule type="dataBar" priority="9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{4847A6B9-A528-4F21-A1BC-9BC634103D60}</x14:id>
        </ext>
      </extLst>
    </cfRule>
  </conditionalFormatting>
  <conditionalFormatting sqref="P40">
    <cfRule type="dataBar" priority="6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{E0952566-9830-433E-B690-6070BEDCD0DC}</x14:id>
        </ext>
      </extLst>
    </cfRule>
  </conditionalFormatting>
  <conditionalFormatting sqref="P42">
    <cfRule type="cellIs" dxfId="22" priority="39" operator="equal">
      <formula>"Terminée"</formula>
    </cfRule>
    <cfRule type="cellIs" dxfId="21" priority="40" operator="equal">
      <formula>"En cours"</formula>
    </cfRule>
    <cfRule type="cellIs" dxfId="20" priority="41" operator="equal">
      <formula>"Bloquée"</formula>
    </cfRule>
    <cfRule type="dataBar" priority="6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{6BFB3E26-B720-4CDC-99E9-19AB4095BBB0}</x14:id>
        </ext>
      </extLst>
    </cfRule>
    <cfRule type="dataBar" priority="6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{163F5EC0-4CC2-411C-B08A-AE6696BA565F}</x14:id>
        </ext>
      </extLst>
    </cfRule>
    <cfRule type="dataBar" priority="6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{95A2D2E5-5E90-48A4-83A5-6F44F057708C}</x14:id>
        </ext>
      </extLst>
    </cfRule>
    <cfRule type="dataBar" priority="6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{71E45572-74D4-4521-B459-FDA2F7F73AF9}</x14:id>
        </ext>
      </extLst>
    </cfRule>
    <cfRule type="dataBar" priority="6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{74406718-8260-4938-B4A0-F87499F125D5}</x14:id>
        </ext>
      </extLst>
    </cfRule>
  </conditionalFormatting>
  <conditionalFormatting sqref="Q12:CY32">
    <cfRule type="expression" dxfId="19" priority="37">
      <formula>AND($O12&gt;5%, $L12&lt;=Q$10,ROUNDDOWN(NETWORKDAYS($L12,$M12)*$O12,0)+$L12&gt;=Q$10)</formula>
    </cfRule>
    <cfRule type="expression" dxfId="18" priority="38">
      <formula>AND(NOT(ISBLANK($L12)),$L12&lt;Q$10,M$12&gt;=Q$10)</formula>
    </cfRule>
  </conditionalFormatting>
  <conditionalFormatting sqref="O18">
    <cfRule type="dataBar" priority="3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{C0EBDD77-0DF4-4EF4-8E98-87EA6087AF64}</x14:id>
        </ext>
      </extLst>
    </cfRule>
  </conditionalFormatting>
  <conditionalFormatting sqref="O19">
    <cfRule type="dataBar" priority="3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{CEAF59F1-8699-4B39-9822-754627787AD6}</x14:id>
        </ext>
      </extLst>
    </cfRule>
  </conditionalFormatting>
  <conditionalFormatting sqref="O20">
    <cfRule type="dataBar" priority="2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{4BF1BA85-A97F-4466-87CA-3211C7962BD6}</x14:id>
        </ext>
      </extLst>
    </cfRule>
  </conditionalFormatting>
  <conditionalFormatting sqref="O21">
    <cfRule type="dataBar" priority="2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{E75E66EA-B646-47F0-B3B3-40E5EC505258}</x14:id>
        </ext>
      </extLst>
    </cfRule>
  </conditionalFormatting>
  <conditionalFormatting sqref="O22">
    <cfRule type="dataBar" priority="2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{7E0162EE-30E5-4B99-A469-7D8042D625A7}</x14:id>
        </ext>
      </extLst>
    </cfRule>
  </conditionalFormatting>
  <conditionalFormatting sqref="P23">
    <cfRule type="cellIs" dxfId="17" priority="23" operator="equal">
      <formula>"Terminée"</formula>
    </cfRule>
    <cfRule type="cellIs" dxfId="16" priority="24" operator="equal">
      <formula>"En cours"</formula>
    </cfRule>
    <cfRule type="cellIs" dxfId="15" priority="25" operator="equal">
      <formula>"Bloquée"</formula>
    </cfRule>
  </conditionalFormatting>
  <conditionalFormatting sqref="P23">
    <cfRule type="dataBar" priority="2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{4FBAA10C-0ABD-49DD-A6D2-C98F9AF7D425}</x14:id>
        </ext>
      </extLst>
    </cfRule>
  </conditionalFormatting>
  <conditionalFormatting sqref="P22">
    <cfRule type="cellIs" dxfId="14" priority="19" operator="equal">
      <formula>"Terminée"</formula>
    </cfRule>
    <cfRule type="cellIs" dxfId="13" priority="20" operator="equal">
      <formula>"En cours"</formula>
    </cfRule>
    <cfRule type="cellIs" dxfId="12" priority="21" operator="equal">
      <formula>"Bloquée"</formula>
    </cfRule>
  </conditionalFormatting>
  <conditionalFormatting sqref="P22">
    <cfRule type="dataBar" priority="2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{C27B50AD-6600-4870-B848-63751AEA6242}</x14:id>
        </ext>
      </extLst>
    </cfRule>
  </conditionalFormatting>
  <conditionalFormatting sqref="P21">
    <cfRule type="cellIs" dxfId="11" priority="15" operator="equal">
      <formula>"Terminée"</formula>
    </cfRule>
    <cfRule type="cellIs" dxfId="10" priority="16" operator="equal">
      <formula>"En cours"</formula>
    </cfRule>
    <cfRule type="cellIs" dxfId="9" priority="17" operator="equal">
      <formula>"Bloquée"</formula>
    </cfRule>
  </conditionalFormatting>
  <conditionalFormatting sqref="P21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{965EBE1D-5C93-4DEE-9AFD-53364638F654}</x14:id>
        </ext>
      </extLst>
    </cfRule>
  </conditionalFormatting>
  <conditionalFormatting sqref="P20">
    <cfRule type="cellIs" dxfId="8" priority="11" operator="equal">
      <formula>"Terminée"</formula>
    </cfRule>
    <cfRule type="cellIs" dxfId="7" priority="12" operator="equal">
      <formula>"En cours"</formula>
    </cfRule>
    <cfRule type="cellIs" dxfId="6" priority="13" operator="equal">
      <formula>"Bloquée"</formula>
    </cfRule>
  </conditionalFormatting>
  <conditionalFormatting sqref="P20">
    <cfRule type="dataBar" priority="1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{BB086D12-6064-4C2E-A2B2-EC8023F6E756}</x14:id>
        </ext>
      </extLst>
    </cfRule>
  </conditionalFormatting>
  <conditionalFormatting sqref="P19">
    <cfRule type="cellIs" dxfId="5" priority="7" operator="equal">
      <formula>"Terminée"</formula>
    </cfRule>
    <cfRule type="cellIs" dxfId="4" priority="8" operator="equal">
      <formula>"En cours"</formula>
    </cfRule>
    <cfRule type="cellIs" dxfId="3" priority="9" operator="equal">
      <formula>"Bloquée"</formula>
    </cfRule>
  </conditionalFormatting>
  <conditionalFormatting sqref="P19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{1CA87ACC-5BE8-47E1-8A8A-07C04F203714}</x14:id>
        </ext>
      </extLst>
    </cfRule>
  </conditionalFormatting>
  <conditionalFormatting sqref="P18">
    <cfRule type="cellIs" dxfId="2" priority="3" operator="equal">
      <formula>"Terminée"</formula>
    </cfRule>
    <cfRule type="cellIs" dxfId="1" priority="4" operator="equal">
      <formula>"En cours"</formula>
    </cfRule>
    <cfRule type="cellIs" dxfId="0" priority="5" operator="equal">
      <formula>"Bloquée"</formula>
    </cfRule>
  </conditionalFormatting>
  <conditionalFormatting sqref="P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{D00110D3-C9D5-4C36-8DD3-77823CE64327}</x14:id>
        </ext>
      </extLst>
    </cfRule>
  </conditionalFormatting>
  <conditionalFormatting sqref="O34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{AADCF308-98FC-4E68-8679-10E3DFE51579}</x14:id>
        </ext>
      </extLst>
    </cfRule>
  </conditionalFormatting>
  <conditionalFormatting sqref="O35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{270A9E2D-94B0-4DB9-AC71-C78980ED95B6}</x14:id>
        </ext>
      </extLst>
    </cfRule>
  </conditionalFormatting>
  <dataValidations count="1">
    <dataValidation type="list" allowBlank="1" showInputMessage="1" showErrorMessage="1" sqref="P40:P42 P13:P28 P33:P36 P30:P31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502DA1-6A24-489D-BFD1-62C09EC12D1D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O13</xm:sqref>
        </x14:conditionalFormatting>
        <x14:conditionalFormatting xmlns:xm="http://schemas.microsoft.com/office/excel/2006/main">
          <x14:cfRule type="dataBar" id="{6DB6183B-332E-4EB9-A431-D783992EC700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6D347038-11E9-4D1B-B42B-C83BC4A362C1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EFD14456-3156-4AF5-AEE3-ED4CC0EA2163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O23</xm:sqref>
        </x14:conditionalFormatting>
        <x14:conditionalFormatting xmlns:xm="http://schemas.microsoft.com/office/excel/2006/main">
          <x14:cfRule type="dataBar" id="{61FCF349-948E-44A9-BEF7-CBDE474160FE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O25</xm:sqref>
        </x14:conditionalFormatting>
        <x14:conditionalFormatting xmlns:xm="http://schemas.microsoft.com/office/excel/2006/main">
          <x14:cfRule type="dataBar" id="{1092B59F-A680-459A-9A19-F05BD016F09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3BE2C38D-D46C-416A-86A0-38C55485F4A4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O27</xm:sqref>
        </x14:conditionalFormatting>
        <x14:conditionalFormatting xmlns:xm="http://schemas.microsoft.com/office/excel/2006/main">
          <x14:cfRule type="dataBar" id="{835D2B11-A034-41E8-AA55-BE84AE6FAE6C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O28</xm:sqref>
        </x14:conditionalFormatting>
        <x14:conditionalFormatting xmlns:xm="http://schemas.microsoft.com/office/excel/2006/main">
          <x14:cfRule type="dataBar" id="{38A9F535-4F61-46A1-B82F-8B566EC0C79E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O30</xm:sqref>
        </x14:conditionalFormatting>
        <x14:conditionalFormatting xmlns:xm="http://schemas.microsoft.com/office/excel/2006/main">
          <x14:cfRule type="dataBar" id="{8F9D8F14-A2ED-499C-AC7D-7DE013BDCCFA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O31</xm:sqref>
        </x14:conditionalFormatting>
        <x14:conditionalFormatting xmlns:xm="http://schemas.microsoft.com/office/excel/2006/main">
          <x14:cfRule type="dataBar" id="{E5A5274D-6354-498B-A5E2-5DD14E45D7C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O33</xm:sqref>
        </x14:conditionalFormatting>
        <x14:conditionalFormatting xmlns:xm="http://schemas.microsoft.com/office/excel/2006/main">
          <x14:cfRule type="dataBar" id="{64FFC0D0-703D-4571-AB72-CE96D316FDDF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O36</xm:sqref>
        </x14:conditionalFormatting>
        <x14:conditionalFormatting xmlns:xm="http://schemas.microsoft.com/office/excel/2006/main">
          <x14:cfRule type="dataBar" id="{9AA5B26A-E057-46D1-B853-2346C0ED4B6F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O38:O39</xm:sqref>
        </x14:conditionalFormatting>
        <x14:conditionalFormatting xmlns:xm="http://schemas.microsoft.com/office/excel/2006/main">
          <x14:cfRule type="dataBar" id="{C7D9FF5F-8C11-4710-8524-30DE7A238580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O11:P12 O24:P24 O17:P17 O15</xm:sqref>
        </x14:conditionalFormatting>
        <x14:conditionalFormatting xmlns:xm="http://schemas.microsoft.com/office/excel/2006/main">
          <x14:cfRule type="dataBar" id="{AB7756AB-6761-4CF0-A2F0-47FDC5AC2659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P13</xm:sqref>
        </x14:conditionalFormatting>
        <x14:conditionalFormatting xmlns:xm="http://schemas.microsoft.com/office/excel/2006/main">
          <x14:cfRule type="dataBar" id="{624FAF50-40E0-4E99-951F-3D5A22B08661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E2F9E156-C7B4-4FC5-9488-FE4F7E815383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>
          <x14:cfRule type="dataBar" id="{226BEB5D-BF9B-4DEC-ACD4-2A979FE0D58C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P16</xm:sqref>
        </x14:conditionalFormatting>
        <x14:conditionalFormatting xmlns:xm="http://schemas.microsoft.com/office/excel/2006/main">
          <x14:cfRule type="dataBar" id="{A2788288-4981-4E8A-9557-8785FFA68060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P25</xm:sqref>
        </x14:conditionalFormatting>
        <x14:conditionalFormatting xmlns:xm="http://schemas.microsoft.com/office/excel/2006/main">
          <x14:cfRule type="dataBar" id="{902C45A4-293E-4847-BB51-F181671CDBB1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D6D09DED-E158-46C0-97D0-99952678AC15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155B1027-6AEF-48C0-A17A-6BFE1F4D226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4A8C6D50-F8AB-47F5-B0D0-191017E5B013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P30</xm:sqref>
        </x14:conditionalFormatting>
        <x14:conditionalFormatting xmlns:xm="http://schemas.microsoft.com/office/excel/2006/main">
          <x14:cfRule type="dataBar" id="{156F48F7-D0F0-4C70-8D26-D463DBBDDC58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66E0AF90-32AB-4A17-ABA8-BE49FE53E9CB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P33:P35</xm:sqref>
        </x14:conditionalFormatting>
        <x14:conditionalFormatting xmlns:xm="http://schemas.microsoft.com/office/excel/2006/main">
          <x14:cfRule type="dataBar" id="{F7963FB1-4223-4D90-8D3F-A3D0679D9F1E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P34</xm:sqref>
        </x14:conditionalFormatting>
        <x14:conditionalFormatting xmlns:xm="http://schemas.microsoft.com/office/excel/2006/main">
          <x14:cfRule type="dataBar" id="{3CB17CF6-F53B-456E-8063-995D6244D89A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P35</xm:sqref>
        </x14:conditionalFormatting>
        <x14:conditionalFormatting xmlns:xm="http://schemas.microsoft.com/office/excel/2006/main">
          <x14:cfRule type="dataBar" id="{4847A6B9-A528-4F21-A1BC-9BC634103D60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P36</xm:sqref>
        </x14:conditionalFormatting>
        <x14:conditionalFormatting xmlns:xm="http://schemas.microsoft.com/office/excel/2006/main">
          <x14:cfRule type="dataBar" id="{E0952566-9830-433E-B690-6070BEDCD0DC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P40</xm:sqref>
        </x14:conditionalFormatting>
        <x14:conditionalFormatting xmlns:xm="http://schemas.microsoft.com/office/excel/2006/main">
          <x14:cfRule type="dataBar" id="{6BFB3E26-B720-4CDC-99E9-19AB4095BBB0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3F5EC0-4CC2-411C-B08A-AE6696BA565F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A2D2E5-5E90-48A4-83A5-6F44F057708C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E45572-74D4-4521-B459-FDA2F7F73AF9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406718-8260-4938-B4A0-F87499F125D5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P42</xm:sqref>
        </x14:conditionalFormatting>
        <x14:conditionalFormatting xmlns:xm="http://schemas.microsoft.com/office/excel/2006/main">
          <x14:cfRule type="dataBar" id="{C0EBDD77-0DF4-4EF4-8E98-87EA6087AF64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O18</xm:sqref>
        </x14:conditionalFormatting>
        <x14:conditionalFormatting xmlns:xm="http://schemas.microsoft.com/office/excel/2006/main">
          <x14:cfRule type="dataBar" id="{CEAF59F1-8699-4B39-9822-754627787AD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O19</xm:sqref>
        </x14:conditionalFormatting>
        <x14:conditionalFormatting xmlns:xm="http://schemas.microsoft.com/office/excel/2006/main">
          <x14:cfRule type="dataBar" id="{4BF1BA85-A97F-4466-87CA-3211C7962BD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E75E66EA-B646-47F0-B3B3-40E5EC505258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O21</xm:sqref>
        </x14:conditionalFormatting>
        <x14:conditionalFormatting xmlns:xm="http://schemas.microsoft.com/office/excel/2006/main">
          <x14:cfRule type="dataBar" id="{7E0162EE-30E5-4B99-A469-7D8042D625A7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O22</xm:sqref>
        </x14:conditionalFormatting>
        <x14:conditionalFormatting xmlns:xm="http://schemas.microsoft.com/office/excel/2006/main">
          <x14:cfRule type="dataBar" id="{4FBAA10C-0ABD-49DD-A6D2-C98F9AF7D425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C27B50AD-6600-4870-B848-63751AEA6242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P22</xm:sqref>
        </x14:conditionalFormatting>
        <x14:conditionalFormatting xmlns:xm="http://schemas.microsoft.com/office/excel/2006/main">
          <x14:cfRule type="dataBar" id="{965EBE1D-5C93-4DEE-9AFD-53364638F654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P21</xm:sqref>
        </x14:conditionalFormatting>
        <x14:conditionalFormatting xmlns:xm="http://schemas.microsoft.com/office/excel/2006/main">
          <x14:cfRule type="dataBar" id="{BB086D12-6064-4C2E-A2B2-EC8023F6E75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P20</xm:sqref>
        </x14:conditionalFormatting>
        <x14:conditionalFormatting xmlns:xm="http://schemas.microsoft.com/office/excel/2006/main">
          <x14:cfRule type="dataBar" id="{1CA87ACC-5BE8-47E1-8A8A-07C04F203714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P19</xm:sqref>
        </x14:conditionalFormatting>
        <x14:conditionalFormatting xmlns:xm="http://schemas.microsoft.com/office/excel/2006/main">
          <x14:cfRule type="dataBar" id="{D00110D3-C9D5-4C36-8DD3-77823CE64327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P18</xm:sqref>
        </x14:conditionalFormatting>
        <x14:conditionalFormatting xmlns:xm="http://schemas.microsoft.com/office/excel/2006/main">
          <x14:cfRule type="dataBar" id="{AADCF308-98FC-4E68-8679-10E3DFE51579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O34</xm:sqref>
        </x14:conditionalFormatting>
        <x14:conditionalFormatting xmlns:xm="http://schemas.microsoft.com/office/excel/2006/main">
          <x14:cfRule type="dataBar" id="{270A9E2D-94B0-4DB9-AC71-C78980ED95B6}">
            <x14:dataBar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Avancement Projet</vt:lpstr>
      <vt:lpstr>'Avancement Projet'!_Toc181209280</vt:lpstr>
      <vt:lpstr>'Avancement Projet'!_Toc181209283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Philippe CAM</dc:creator>
  <dc:description/>
  <cp:lastModifiedBy>Julien Gombert</cp:lastModifiedBy>
  <cp:revision>4</cp:revision>
  <dcterms:created xsi:type="dcterms:W3CDTF">2022-10-12T21:12:16Z</dcterms:created>
  <dcterms:modified xsi:type="dcterms:W3CDTF">2026-01-24T07:51:36Z</dcterms:modified>
  <dc:language>fr-FR</dc:language>
</cp:coreProperties>
</file>